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C:\Users\adegu\Downloads\"/>
    </mc:Choice>
  </mc:AlternateContent>
  <xr:revisionPtr revIDLastSave="0" documentId="8_{A1B9D8E9-040F-47FD-B4E6-E795049BEBE0}" xr6:coauthVersionLast="47" xr6:coauthVersionMax="47" xr10:uidLastSave="{00000000-0000-0000-0000-000000000000}"/>
  <bookViews>
    <workbookView xWindow="-120" yWindow="480" windowWidth="29040" windowHeight="15120" tabRatio="500" firstSheet="3" activeTab="3" xr2:uid="{00000000-000D-0000-FFFF-FFFF00000000}"/>
  </bookViews>
  <sheets>
    <sheet name="How to Use" sheetId="1" r:id="rId1"/>
    <sheet name="Categories" sheetId="2" r:id="rId2"/>
    <sheet name="Rates" sheetId="3" r:id="rId3"/>
    <sheet name="WordPress" sheetId="4" r:id="rId4"/>
    <sheet name="Squarespace" sheetId="5" r:id="rId5"/>
    <sheet name="Shopify" sheetId="6" r:id="rId6"/>
    <sheet name="WIX" sheetId="7" r:id="rId7"/>
    <sheet name="PHP-HTML-CSS" sheetId="8" r:id="rId8"/>
    <sheet name="React-NextJS" sheetId="9" r:id="rId9"/>
    <sheet name="Summary" sheetId="10" r:id="rId10"/>
  </sheets>
  <definedNames>
    <definedName name="_xlnm._FilterDatabase" localSheetId="7" hidden="1">'PHP-HTML-CSS'!$A$4:$M$122</definedName>
    <definedName name="_xlnm._FilterDatabase" localSheetId="8" hidden="1">'React-NextJS'!$A$4:$M$141</definedName>
    <definedName name="_xlnm._FilterDatabase" localSheetId="5" hidden="1">Shopify!$A$4:$M$73</definedName>
    <definedName name="_xlnm._FilterDatabase" localSheetId="4" hidden="1">Squarespace!$A$4:$M$71</definedName>
    <definedName name="_xlnm._FilterDatabase" localSheetId="6" hidden="1">WIX!$A$4:$M$74</definedName>
    <definedName name="_xlnm._FilterDatabase" localSheetId="3" hidden="1">WordPress!$A$4:$M$140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43" i="9" l="1"/>
  <c r="C10" i="10" s="1"/>
  <c r="J141" i="9"/>
  <c r="L141" i="9" s="1"/>
  <c r="F141" i="9"/>
  <c r="J140" i="9"/>
  <c r="L140" i="9" s="1"/>
  <c r="F140" i="9"/>
  <c r="J139" i="9"/>
  <c r="L139" i="9" s="1"/>
  <c r="F139" i="9"/>
  <c r="J138" i="9"/>
  <c r="L138" i="9" s="1"/>
  <c r="F138" i="9"/>
  <c r="J137" i="9"/>
  <c r="L137" i="9" s="1"/>
  <c r="F137" i="9"/>
  <c r="J136" i="9"/>
  <c r="L136" i="9" s="1"/>
  <c r="F136" i="9"/>
  <c r="J135" i="9"/>
  <c r="L135" i="9" s="1"/>
  <c r="F135" i="9"/>
  <c r="J134" i="9"/>
  <c r="L134" i="9" s="1"/>
  <c r="F134" i="9"/>
  <c r="J133" i="9"/>
  <c r="L133" i="9" s="1"/>
  <c r="F133" i="9"/>
  <c r="J132" i="9"/>
  <c r="L132" i="9" s="1"/>
  <c r="F132" i="9"/>
  <c r="J131" i="9"/>
  <c r="L131" i="9" s="1"/>
  <c r="F131" i="9"/>
  <c r="J130" i="9"/>
  <c r="L130" i="9" s="1"/>
  <c r="F130" i="9"/>
  <c r="J129" i="9"/>
  <c r="L129" i="9" s="1"/>
  <c r="F129" i="9"/>
  <c r="J128" i="9"/>
  <c r="L128" i="9" s="1"/>
  <c r="F128" i="9"/>
  <c r="J127" i="9"/>
  <c r="L127" i="9" s="1"/>
  <c r="F127" i="9"/>
  <c r="J126" i="9"/>
  <c r="L126" i="9" s="1"/>
  <c r="F126" i="9"/>
  <c r="J125" i="9"/>
  <c r="L125" i="9" s="1"/>
  <c r="F125" i="9"/>
  <c r="J124" i="9"/>
  <c r="L124" i="9" s="1"/>
  <c r="F124" i="9"/>
  <c r="J123" i="9"/>
  <c r="L123" i="9" s="1"/>
  <c r="F123" i="9"/>
  <c r="J122" i="9"/>
  <c r="L122" i="9" s="1"/>
  <c r="F122" i="9"/>
  <c r="J121" i="9"/>
  <c r="L121" i="9" s="1"/>
  <c r="F121" i="9"/>
  <c r="J120" i="9"/>
  <c r="L120" i="9" s="1"/>
  <c r="F120" i="9"/>
  <c r="J119" i="9"/>
  <c r="L119" i="9" s="1"/>
  <c r="F119" i="9"/>
  <c r="J118" i="9"/>
  <c r="L118" i="9" s="1"/>
  <c r="F118" i="9"/>
  <c r="J117" i="9"/>
  <c r="L117" i="9" s="1"/>
  <c r="F117" i="9"/>
  <c r="J116" i="9"/>
  <c r="L116" i="9" s="1"/>
  <c r="F116" i="9"/>
  <c r="J115" i="9"/>
  <c r="L115" i="9" s="1"/>
  <c r="F115" i="9"/>
  <c r="J114" i="9"/>
  <c r="L114" i="9" s="1"/>
  <c r="F114" i="9"/>
  <c r="J113" i="9"/>
  <c r="L113" i="9" s="1"/>
  <c r="F113" i="9"/>
  <c r="J112" i="9"/>
  <c r="L112" i="9" s="1"/>
  <c r="F112" i="9"/>
  <c r="J111" i="9"/>
  <c r="L111" i="9" s="1"/>
  <c r="F111" i="9"/>
  <c r="J110" i="9"/>
  <c r="L110" i="9" s="1"/>
  <c r="F110" i="9"/>
  <c r="J109" i="9"/>
  <c r="L109" i="9" s="1"/>
  <c r="F109" i="9"/>
  <c r="J108" i="9"/>
  <c r="L108" i="9" s="1"/>
  <c r="F108" i="9"/>
  <c r="J107" i="9"/>
  <c r="L107" i="9" s="1"/>
  <c r="F107" i="9"/>
  <c r="J106" i="9"/>
  <c r="L106" i="9" s="1"/>
  <c r="F106" i="9"/>
  <c r="J105" i="9"/>
  <c r="L105" i="9" s="1"/>
  <c r="F105" i="9"/>
  <c r="J104" i="9"/>
  <c r="L104" i="9" s="1"/>
  <c r="F104" i="9"/>
  <c r="J103" i="9"/>
  <c r="L103" i="9" s="1"/>
  <c r="F103" i="9"/>
  <c r="J102" i="9"/>
  <c r="L102" i="9" s="1"/>
  <c r="F102" i="9"/>
  <c r="J101" i="9"/>
  <c r="L101" i="9" s="1"/>
  <c r="F101" i="9"/>
  <c r="J100" i="9"/>
  <c r="L100" i="9" s="1"/>
  <c r="F100" i="9"/>
  <c r="J99" i="9"/>
  <c r="L99" i="9" s="1"/>
  <c r="F99" i="9"/>
  <c r="J98" i="9"/>
  <c r="L98" i="9" s="1"/>
  <c r="F98" i="9"/>
  <c r="J97" i="9"/>
  <c r="L97" i="9" s="1"/>
  <c r="F97" i="9"/>
  <c r="J96" i="9"/>
  <c r="L96" i="9" s="1"/>
  <c r="F96" i="9"/>
  <c r="J95" i="9"/>
  <c r="L95" i="9" s="1"/>
  <c r="F95" i="9"/>
  <c r="J94" i="9"/>
  <c r="L94" i="9" s="1"/>
  <c r="F94" i="9"/>
  <c r="J93" i="9"/>
  <c r="L93" i="9" s="1"/>
  <c r="F93" i="9"/>
  <c r="J92" i="9"/>
  <c r="L92" i="9" s="1"/>
  <c r="F92" i="9"/>
  <c r="J91" i="9"/>
  <c r="L91" i="9" s="1"/>
  <c r="F91" i="9"/>
  <c r="J90" i="9"/>
  <c r="L90" i="9" s="1"/>
  <c r="F90" i="9"/>
  <c r="J89" i="9"/>
  <c r="L89" i="9" s="1"/>
  <c r="F89" i="9"/>
  <c r="J88" i="9"/>
  <c r="L88" i="9" s="1"/>
  <c r="F88" i="9"/>
  <c r="J87" i="9"/>
  <c r="L87" i="9" s="1"/>
  <c r="F87" i="9"/>
  <c r="J86" i="9"/>
  <c r="L86" i="9" s="1"/>
  <c r="F86" i="9"/>
  <c r="F85" i="9"/>
  <c r="F84" i="9"/>
  <c r="F83" i="9"/>
  <c r="F82" i="9"/>
  <c r="F81" i="9"/>
  <c r="F80" i="9"/>
  <c r="F79" i="9"/>
  <c r="F78" i="9"/>
  <c r="F77" i="9"/>
  <c r="F76" i="9"/>
  <c r="F75" i="9"/>
  <c r="F74" i="9"/>
  <c r="F73" i="9"/>
  <c r="F72" i="9"/>
  <c r="F71" i="9"/>
  <c r="F70" i="9"/>
  <c r="F69" i="9"/>
  <c r="F68" i="9"/>
  <c r="F67" i="9"/>
  <c r="F66" i="9"/>
  <c r="J65" i="9"/>
  <c r="L65" i="9" s="1"/>
  <c r="F65" i="9"/>
  <c r="J64" i="9"/>
  <c r="L64" i="9" s="1"/>
  <c r="F64" i="9"/>
  <c r="J63" i="9"/>
  <c r="L63" i="9" s="1"/>
  <c r="F63" i="9"/>
  <c r="J62" i="9"/>
  <c r="L62" i="9" s="1"/>
  <c r="F62" i="9"/>
  <c r="J61" i="9"/>
  <c r="L61" i="9" s="1"/>
  <c r="F61" i="9"/>
  <c r="J60" i="9"/>
  <c r="L60" i="9" s="1"/>
  <c r="F60" i="9"/>
  <c r="J59" i="9"/>
  <c r="L59" i="9" s="1"/>
  <c r="F59" i="9"/>
  <c r="J58" i="9"/>
  <c r="L58" i="9" s="1"/>
  <c r="F58" i="9"/>
  <c r="J57" i="9"/>
  <c r="L57" i="9" s="1"/>
  <c r="F57" i="9"/>
  <c r="J56" i="9"/>
  <c r="L56" i="9" s="1"/>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J24" i="9"/>
  <c r="L24" i="9" s="1"/>
  <c r="F24" i="9"/>
  <c r="F23" i="9"/>
  <c r="F22" i="9"/>
  <c r="F21" i="9"/>
  <c r="F20" i="9"/>
  <c r="F19" i="9"/>
  <c r="F18" i="9"/>
  <c r="F17" i="9"/>
  <c r="F16" i="9"/>
  <c r="F15" i="9"/>
  <c r="F14" i="9"/>
  <c r="F13" i="9"/>
  <c r="F12" i="9"/>
  <c r="F11" i="9"/>
  <c r="F10" i="9"/>
  <c r="F9" i="9"/>
  <c r="F8" i="9"/>
  <c r="F7" i="9"/>
  <c r="J6" i="9"/>
  <c r="L6" i="9" s="1"/>
  <c r="F6" i="9"/>
  <c r="J5" i="9"/>
  <c r="L5" i="9" s="1"/>
  <c r="F5" i="9"/>
  <c r="K124" i="8"/>
  <c r="C9" i="10" s="1"/>
  <c r="J122" i="8"/>
  <c r="L122" i="8" s="1"/>
  <c r="F122" i="8"/>
  <c r="J121" i="8"/>
  <c r="L121" i="8" s="1"/>
  <c r="F121" i="8"/>
  <c r="J120" i="8"/>
  <c r="L120" i="8" s="1"/>
  <c r="F120" i="8"/>
  <c r="J119" i="8"/>
  <c r="L119" i="8" s="1"/>
  <c r="F119" i="8"/>
  <c r="J118" i="8"/>
  <c r="L118" i="8" s="1"/>
  <c r="F118" i="8"/>
  <c r="J117" i="8"/>
  <c r="L117" i="8" s="1"/>
  <c r="F117" i="8"/>
  <c r="J116" i="8"/>
  <c r="L116" i="8" s="1"/>
  <c r="F116" i="8"/>
  <c r="J115" i="8"/>
  <c r="L115" i="8" s="1"/>
  <c r="F115" i="8"/>
  <c r="J114" i="8"/>
  <c r="L114" i="8" s="1"/>
  <c r="F114" i="8"/>
  <c r="J113" i="8"/>
  <c r="L113" i="8" s="1"/>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J83" i="8"/>
  <c r="L83" i="8" s="1"/>
  <c r="F83" i="8"/>
  <c r="J82" i="8"/>
  <c r="L82" i="8" s="1"/>
  <c r="F82" i="8"/>
  <c r="J81" i="8"/>
  <c r="L81" i="8" s="1"/>
  <c r="F81" i="8"/>
  <c r="J80" i="8"/>
  <c r="L80" i="8" s="1"/>
  <c r="F80" i="8"/>
  <c r="J79" i="8"/>
  <c r="L79" i="8" s="1"/>
  <c r="F79" i="8"/>
  <c r="J78" i="8"/>
  <c r="L78" i="8" s="1"/>
  <c r="F78" i="8"/>
  <c r="J77" i="8"/>
  <c r="L77" i="8" s="1"/>
  <c r="F77" i="8"/>
  <c r="J76" i="8"/>
  <c r="L76" i="8" s="1"/>
  <c r="F76" i="8"/>
  <c r="J75" i="8"/>
  <c r="L75" i="8" s="1"/>
  <c r="F75" i="8"/>
  <c r="J74" i="8"/>
  <c r="L74" i="8" s="1"/>
  <c r="F74" i="8"/>
  <c r="J73" i="8"/>
  <c r="L73" i="8" s="1"/>
  <c r="F73" i="8"/>
  <c r="J72" i="8"/>
  <c r="L72" i="8" s="1"/>
  <c r="F72" i="8"/>
  <c r="J71" i="8"/>
  <c r="L71" i="8" s="1"/>
  <c r="F71" i="8"/>
  <c r="J70" i="8"/>
  <c r="L70" i="8" s="1"/>
  <c r="F70" i="8"/>
  <c r="J69" i="8"/>
  <c r="L69" i="8" s="1"/>
  <c r="F69" i="8"/>
  <c r="J68" i="8"/>
  <c r="L68" i="8" s="1"/>
  <c r="F68" i="8"/>
  <c r="J67" i="8"/>
  <c r="L67" i="8" s="1"/>
  <c r="F67" i="8"/>
  <c r="J66" i="8"/>
  <c r="L66" i="8" s="1"/>
  <c r="F66" i="8"/>
  <c r="J65" i="8"/>
  <c r="L65" i="8" s="1"/>
  <c r="F65" i="8"/>
  <c r="J64" i="8"/>
  <c r="L64" i="8" s="1"/>
  <c r="F64" i="8"/>
  <c r="J63" i="8"/>
  <c r="L63" i="8" s="1"/>
  <c r="F63" i="8"/>
  <c r="J62" i="8"/>
  <c r="L62" i="8" s="1"/>
  <c r="F62" i="8"/>
  <c r="J61" i="8"/>
  <c r="L61" i="8" s="1"/>
  <c r="F61" i="8"/>
  <c r="J60" i="8"/>
  <c r="L60" i="8" s="1"/>
  <c r="F60" i="8"/>
  <c r="J59" i="8"/>
  <c r="L59" i="8" s="1"/>
  <c r="F59" i="8"/>
  <c r="J58" i="8"/>
  <c r="L58" i="8" s="1"/>
  <c r="F58" i="8"/>
  <c r="J57" i="8"/>
  <c r="L57" i="8" s="1"/>
  <c r="F57" i="8"/>
  <c r="J56" i="8"/>
  <c r="L56" i="8" s="1"/>
  <c r="F56" i="8"/>
  <c r="J55" i="8"/>
  <c r="L55" i="8" s="1"/>
  <c r="F55" i="8"/>
  <c r="J54" i="8"/>
  <c r="L54" i="8" s="1"/>
  <c r="F54" i="8"/>
  <c r="J53" i="8"/>
  <c r="L53" i="8" s="1"/>
  <c r="F53" i="8"/>
  <c r="J52" i="8"/>
  <c r="L52" i="8" s="1"/>
  <c r="F52" i="8"/>
  <c r="J51" i="8"/>
  <c r="L51" i="8" s="1"/>
  <c r="F51" i="8"/>
  <c r="J50" i="8"/>
  <c r="L50" i="8" s="1"/>
  <c r="F50" i="8"/>
  <c r="J49" i="8"/>
  <c r="L49" i="8" s="1"/>
  <c r="F49" i="8"/>
  <c r="J48" i="8"/>
  <c r="L48" i="8" s="1"/>
  <c r="F48" i="8"/>
  <c r="J47" i="8"/>
  <c r="L47" i="8" s="1"/>
  <c r="F47" i="8"/>
  <c r="J46" i="8"/>
  <c r="L46" i="8" s="1"/>
  <c r="F46" i="8"/>
  <c r="J45" i="8"/>
  <c r="L45" i="8" s="1"/>
  <c r="F45" i="8"/>
  <c r="J44" i="8"/>
  <c r="L44" i="8" s="1"/>
  <c r="F44" i="8"/>
  <c r="J43" i="8"/>
  <c r="L43" i="8" s="1"/>
  <c r="F43" i="8"/>
  <c r="J42" i="8"/>
  <c r="L42" i="8" s="1"/>
  <c r="F42" i="8"/>
  <c r="J41" i="8"/>
  <c r="L41" i="8" s="1"/>
  <c r="F41" i="8"/>
  <c r="J40" i="8"/>
  <c r="L40" i="8" s="1"/>
  <c r="F40" i="8"/>
  <c r="J39" i="8"/>
  <c r="L39" i="8" s="1"/>
  <c r="F39" i="8"/>
  <c r="J38" i="8"/>
  <c r="L38" i="8" s="1"/>
  <c r="F38" i="8"/>
  <c r="J37" i="8"/>
  <c r="L37" i="8" s="1"/>
  <c r="F37" i="8"/>
  <c r="J36" i="8"/>
  <c r="L36" i="8" s="1"/>
  <c r="F36" i="8"/>
  <c r="J35" i="8"/>
  <c r="L35" i="8" s="1"/>
  <c r="F35" i="8"/>
  <c r="J34" i="8"/>
  <c r="L34" i="8" s="1"/>
  <c r="F34" i="8"/>
  <c r="J33" i="8"/>
  <c r="L33" i="8" s="1"/>
  <c r="F33" i="8"/>
  <c r="J32" i="8"/>
  <c r="L32" i="8" s="1"/>
  <c r="F32" i="8"/>
  <c r="J31" i="8"/>
  <c r="L31" i="8" s="1"/>
  <c r="F31" i="8"/>
  <c r="J30" i="8"/>
  <c r="L30" i="8" s="1"/>
  <c r="F30" i="8"/>
  <c r="J29" i="8"/>
  <c r="L29" i="8" s="1"/>
  <c r="F29" i="8"/>
  <c r="J28" i="8"/>
  <c r="L28" i="8" s="1"/>
  <c r="F28" i="8"/>
  <c r="J27" i="8"/>
  <c r="L27" i="8" s="1"/>
  <c r="F27" i="8"/>
  <c r="J26" i="8"/>
  <c r="L26" i="8" s="1"/>
  <c r="F26" i="8"/>
  <c r="J25" i="8"/>
  <c r="L25" i="8" s="1"/>
  <c r="F25" i="8"/>
  <c r="J24" i="8"/>
  <c r="L24" i="8" s="1"/>
  <c r="F24" i="8"/>
  <c r="J23" i="8"/>
  <c r="L23" i="8" s="1"/>
  <c r="F23" i="8"/>
  <c r="J22" i="8"/>
  <c r="L22" i="8" s="1"/>
  <c r="F22" i="8"/>
  <c r="J21" i="8"/>
  <c r="L21" i="8" s="1"/>
  <c r="F21" i="8"/>
  <c r="J20" i="8"/>
  <c r="L20" i="8" s="1"/>
  <c r="F20" i="8"/>
  <c r="J19" i="8"/>
  <c r="L19" i="8" s="1"/>
  <c r="F19" i="8"/>
  <c r="J18" i="8"/>
  <c r="L18" i="8" s="1"/>
  <c r="F18" i="8"/>
  <c r="J17" i="8"/>
  <c r="L17" i="8" s="1"/>
  <c r="F17" i="8"/>
  <c r="J16" i="8"/>
  <c r="L16" i="8" s="1"/>
  <c r="F16" i="8"/>
  <c r="J15" i="8"/>
  <c r="L15" i="8" s="1"/>
  <c r="F15" i="8"/>
  <c r="J14" i="8"/>
  <c r="L14" i="8" s="1"/>
  <c r="F14" i="8"/>
  <c r="J13" i="8"/>
  <c r="L13" i="8" s="1"/>
  <c r="F13" i="8"/>
  <c r="J12" i="8"/>
  <c r="L12" i="8" s="1"/>
  <c r="F12" i="8"/>
  <c r="J11" i="8"/>
  <c r="L11" i="8" s="1"/>
  <c r="F11" i="8"/>
  <c r="J10" i="8"/>
  <c r="L10" i="8" s="1"/>
  <c r="F10" i="8"/>
  <c r="J9" i="8"/>
  <c r="L9" i="8" s="1"/>
  <c r="F9" i="8"/>
  <c r="J8" i="8"/>
  <c r="L8" i="8" s="1"/>
  <c r="F8" i="8"/>
  <c r="J7" i="8"/>
  <c r="L7" i="8" s="1"/>
  <c r="F7" i="8"/>
  <c r="J6" i="8"/>
  <c r="L6" i="8" s="1"/>
  <c r="F6" i="8"/>
  <c r="J5" i="8"/>
  <c r="L5" i="8" s="1"/>
  <c r="F5" i="8"/>
  <c r="K76" i="7"/>
  <c r="C8" i="10" s="1"/>
  <c r="J74" i="7"/>
  <c r="L74" i="7" s="1"/>
  <c r="F74" i="7"/>
  <c r="J73" i="7"/>
  <c r="L73" i="7" s="1"/>
  <c r="F73" i="7"/>
  <c r="J72" i="7"/>
  <c r="L72" i="7" s="1"/>
  <c r="F72" i="7"/>
  <c r="J71" i="7"/>
  <c r="L71" i="7" s="1"/>
  <c r="F71" i="7"/>
  <c r="J70" i="7"/>
  <c r="L70" i="7" s="1"/>
  <c r="F70" i="7"/>
  <c r="J69" i="7"/>
  <c r="L69" i="7" s="1"/>
  <c r="F69" i="7"/>
  <c r="J68" i="7"/>
  <c r="L68" i="7" s="1"/>
  <c r="F68" i="7"/>
  <c r="J67" i="7"/>
  <c r="L67" i="7" s="1"/>
  <c r="F67" i="7"/>
  <c r="J66" i="7"/>
  <c r="L66" i="7" s="1"/>
  <c r="F66" i="7"/>
  <c r="J65" i="7"/>
  <c r="L65" i="7" s="1"/>
  <c r="F65" i="7"/>
  <c r="J64" i="7"/>
  <c r="L64" i="7" s="1"/>
  <c r="F64" i="7"/>
  <c r="J63" i="7"/>
  <c r="L63" i="7" s="1"/>
  <c r="F63" i="7"/>
  <c r="J62" i="7"/>
  <c r="L62" i="7" s="1"/>
  <c r="F62" i="7"/>
  <c r="J61" i="7"/>
  <c r="L61" i="7" s="1"/>
  <c r="F61" i="7"/>
  <c r="J60" i="7"/>
  <c r="L60" i="7" s="1"/>
  <c r="F60" i="7"/>
  <c r="J59" i="7"/>
  <c r="L59" i="7" s="1"/>
  <c r="F59" i="7"/>
  <c r="J58" i="7"/>
  <c r="L58" i="7" s="1"/>
  <c r="F58" i="7"/>
  <c r="J57" i="7"/>
  <c r="L57" i="7" s="1"/>
  <c r="F57" i="7"/>
  <c r="J56" i="7"/>
  <c r="L56" i="7" s="1"/>
  <c r="F56" i="7"/>
  <c r="J55" i="7"/>
  <c r="L55" i="7" s="1"/>
  <c r="F55" i="7"/>
  <c r="J54" i="7"/>
  <c r="L54" i="7" s="1"/>
  <c r="F54" i="7"/>
  <c r="J53" i="7"/>
  <c r="L53" i="7" s="1"/>
  <c r="F53" i="7"/>
  <c r="J52" i="7"/>
  <c r="L52" i="7" s="1"/>
  <c r="F52" i="7"/>
  <c r="J51" i="7"/>
  <c r="L51" i="7" s="1"/>
  <c r="F51" i="7"/>
  <c r="J50" i="7"/>
  <c r="L50" i="7" s="1"/>
  <c r="F50" i="7"/>
  <c r="J49" i="7"/>
  <c r="L49" i="7" s="1"/>
  <c r="F49" i="7"/>
  <c r="J48" i="7"/>
  <c r="L48" i="7" s="1"/>
  <c r="F48" i="7"/>
  <c r="J47" i="7"/>
  <c r="L47" i="7" s="1"/>
  <c r="F47" i="7"/>
  <c r="J46" i="7"/>
  <c r="L46" i="7" s="1"/>
  <c r="F46" i="7"/>
  <c r="J45" i="7"/>
  <c r="L45" i="7" s="1"/>
  <c r="F45" i="7"/>
  <c r="J44" i="7"/>
  <c r="L44" i="7" s="1"/>
  <c r="F44" i="7"/>
  <c r="J43" i="7"/>
  <c r="L43" i="7" s="1"/>
  <c r="F43" i="7"/>
  <c r="J42" i="7"/>
  <c r="L42" i="7" s="1"/>
  <c r="F42" i="7"/>
  <c r="J41" i="7"/>
  <c r="L41" i="7" s="1"/>
  <c r="F41" i="7"/>
  <c r="J40" i="7"/>
  <c r="L40" i="7" s="1"/>
  <c r="F40" i="7"/>
  <c r="J39" i="7"/>
  <c r="L39" i="7" s="1"/>
  <c r="F39" i="7"/>
  <c r="J38" i="7"/>
  <c r="L38" i="7" s="1"/>
  <c r="F38" i="7"/>
  <c r="J37" i="7"/>
  <c r="L37" i="7" s="1"/>
  <c r="F37" i="7"/>
  <c r="J36" i="7"/>
  <c r="L36" i="7" s="1"/>
  <c r="F36" i="7"/>
  <c r="J35" i="7"/>
  <c r="L35" i="7" s="1"/>
  <c r="F35" i="7"/>
  <c r="J34" i="7"/>
  <c r="L34" i="7" s="1"/>
  <c r="F34" i="7"/>
  <c r="J33" i="7"/>
  <c r="L33" i="7" s="1"/>
  <c r="F33" i="7"/>
  <c r="J32" i="7"/>
  <c r="L32" i="7" s="1"/>
  <c r="F32" i="7"/>
  <c r="J31" i="7"/>
  <c r="L31" i="7" s="1"/>
  <c r="F31" i="7"/>
  <c r="J30" i="7"/>
  <c r="L30" i="7" s="1"/>
  <c r="F30" i="7"/>
  <c r="J29" i="7"/>
  <c r="L29" i="7" s="1"/>
  <c r="F29" i="7"/>
  <c r="J28" i="7"/>
  <c r="L28" i="7" s="1"/>
  <c r="F28" i="7"/>
  <c r="J27" i="7"/>
  <c r="L27" i="7" s="1"/>
  <c r="F27" i="7"/>
  <c r="J26" i="7"/>
  <c r="L26" i="7" s="1"/>
  <c r="F26" i="7"/>
  <c r="J25" i="7"/>
  <c r="L25" i="7" s="1"/>
  <c r="F25" i="7"/>
  <c r="J24" i="7"/>
  <c r="L24" i="7" s="1"/>
  <c r="F24" i="7"/>
  <c r="J23" i="7"/>
  <c r="L23" i="7" s="1"/>
  <c r="F23" i="7"/>
  <c r="J22" i="7"/>
  <c r="L22" i="7" s="1"/>
  <c r="F22" i="7"/>
  <c r="J21" i="7"/>
  <c r="L21" i="7" s="1"/>
  <c r="F21" i="7"/>
  <c r="J20" i="7"/>
  <c r="L20" i="7" s="1"/>
  <c r="F20" i="7"/>
  <c r="J19" i="7"/>
  <c r="L19" i="7" s="1"/>
  <c r="F19" i="7"/>
  <c r="J18" i="7"/>
  <c r="L18" i="7" s="1"/>
  <c r="F18" i="7"/>
  <c r="J17" i="7"/>
  <c r="L17" i="7" s="1"/>
  <c r="F17" i="7"/>
  <c r="J16" i="7"/>
  <c r="L16" i="7" s="1"/>
  <c r="F16" i="7"/>
  <c r="J15" i="7"/>
  <c r="L15" i="7" s="1"/>
  <c r="F15" i="7"/>
  <c r="J14" i="7"/>
  <c r="L14" i="7" s="1"/>
  <c r="F14" i="7"/>
  <c r="J13" i="7"/>
  <c r="L13" i="7" s="1"/>
  <c r="F13" i="7"/>
  <c r="J12" i="7"/>
  <c r="L12" i="7" s="1"/>
  <c r="F12" i="7"/>
  <c r="J11" i="7"/>
  <c r="L11" i="7" s="1"/>
  <c r="F11" i="7"/>
  <c r="J10" i="7"/>
  <c r="L10" i="7" s="1"/>
  <c r="F10" i="7"/>
  <c r="J9" i="7"/>
  <c r="L9" i="7" s="1"/>
  <c r="F9" i="7"/>
  <c r="J8" i="7"/>
  <c r="L8" i="7" s="1"/>
  <c r="F8" i="7"/>
  <c r="J7" i="7"/>
  <c r="L7" i="7" s="1"/>
  <c r="F7" i="7"/>
  <c r="J6" i="7"/>
  <c r="L6" i="7" s="1"/>
  <c r="F6" i="7"/>
  <c r="J5" i="7"/>
  <c r="L5" i="7" s="1"/>
  <c r="F5" i="7"/>
  <c r="K75" i="6"/>
  <c r="C7" i="10" s="1"/>
  <c r="J73" i="6"/>
  <c r="L73" i="6" s="1"/>
  <c r="F73" i="6"/>
  <c r="J72" i="6"/>
  <c r="L72" i="6" s="1"/>
  <c r="F72" i="6"/>
  <c r="J71" i="6"/>
  <c r="L71" i="6" s="1"/>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J40" i="6"/>
  <c r="L40" i="6" s="1"/>
  <c r="F40" i="6"/>
  <c r="F39" i="6"/>
  <c r="F38" i="6"/>
  <c r="F37" i="6"/>
  <c r="F36" i="6"/>
  <c r="F35" i="6"/>
  <c r="F34" i="6"/>
  <c r="F33" i="6"/>
  <c r="F32" i="6"/>
  <c r="F31" i="6"/>
  <c r="F30" i="6"/>
  <c r="F29" i="6"/>
  <c r="F28" i="6"/>
  <c r="F27" i="6"/>
  <c r="F26" i="6"/>
  <c r="F25" i="6"/>
  <c r="F24" i="6"/>
  <c r="F23" i="6"/>
  <c r="F22" i="6"/>
  <c r="F21" i="6"/>
  <c r="F20" i="6"/>
  <c r="F19" i="6"/>
  <c r="F18" i="6"/>
  <c r="J17" i="6"/>
  <c r="L17" i="6" s="1"/>
  <c r="F17" i="6"/>
  <c r="J16" i="6"/>
  <c r="L16" i="6" s="1"/>
  <c r="F16" i="6"/>
  <c r="J15" i="6"/>
  <c r="L15" i="6" s="1"/>
  <c r="F15" i="6"/>
  <c r="J14" i="6"/>
  <c r="L14" i="6" s="1"/>
  <c r="F14" i="6"/>
  <c r="J13" i="6"/>
  <c r="L13" i="6" s="1"/>
  <c r="F13" i="6"/>
  <c r="J12" i="6"/>
  <c r="L12" i="6" s="1"/>
  <c r="F12" i="6"/>
  <c r="J11" i="6"/>
  <c r="L11" i="6" s="1"/>
  <c r="F11" i="6"/>
  <c r="J10" i="6"/>
  <c r="L10" i="6" s="1"/>
  <c r="F10" i="6"/>
  <c r="J9" i="6"/>
  <c r="L9" i="6" s="1"/>
  <c r="F9" i="6"/>
  <c r="J8" i="6"/>
  <c r="L8" i="6" s="1"/>
  <c r="F8" i="6"/>
  <c r="J7" i="6"/>
  <c r="L7" i="6" s="1"/>
  <c r="F7" i="6"/>
  <c r="J6" i="6"/>
  <c r="L6" i="6" s="1"/>
  <c r="F6" i="6"/>
  <c r="J5" i="6"/>
  <c r="L5" i="6" s="1"/>
  <c r="F5" i="6"/>
  <c r="K73" i="5"/>
  <c r="C6" i="10" s="1"/>
  <c r="J71" i="5"/>
  <c r="L71" i="5" s="1"/>
  <c r="F71" i="5"/>
  <c r="J70" i="5"/>
  <c r="L70" i="5" s="1"/>
  <c r="F70" i="5"/>
  <c r="J69" i="5"/>
  <c r="L69" i="5" s="1"/>
  <c r="F69" i="5"/>
  <c r="J68" i="5"/>
  <c r="L68" i="5" s="1"/>
  <c r="F68" i="5"/>
  <c r="J67" i="5"/>
  <c r="L67" i="5" s="1"/>
  <c r="F67" i="5"/>
  <c r="J66" i="5"/>
  <c r="L66" i="5" s="1"/>
  <c r="F66" i="5"/>
  <c r="J65" i="5"/>
  <c r="L65" i="5" s="1"/>
  <c r="F65" i="5"/>
  <c r="J64" i="5"/>
  <c r="L64" i="5" s="1"/>
  <c r="F64" i="5"/>
  <c r="J63" i="5"/>
  <c r="L63" i="5" s="1"/>
  <c r="F63" i="5"/>
  <c r="J62" i="5"/>
  <c r="L62" i="5" s="1"/>
  <c r="F62" i="5"/>
  <c r="J61" i="5"/>
  <c r="L61" i="5" s="1"/>
  <c r="F61" i="5"/>
  <c r="J60" i="5"/>
  <c r="L60" i="5" s="1"/>
  <c r="F60" i="5"/>
  <c r="J59" i="5"/>
  <c r="L59" i="5" s="1"/>
  <c r="F59" i="5"/>
  <c r="J58" i="5"/>
  <c r="L58" i="5" s="1"/>
  <c r="F58" i="5"/>
  <c r="J57" i="5"/>
  <c r="L57" i="5" s="1"/>
  <c r="F57" i="5"/>
  <c r="J56" i="5"/>
  <c r="L56" i="5" s="1"/>
  <c r="F56" i="5"/>
  <c r="J55" i="5"/>
  <c r="L55" i="5" s="1"/>
  <c r="F55" i="5"/>
  <c r="J54" i="5"/>
  <c r="L54" i="5" s="1"/>
  <c r="F54" i="5"/>
  <c r="J53" i="5"/>
  <c r="L53" i="5" s="1"/>
  <c r="F53" i="5"/>
  <c r="J52" i="5"/>
  <c r="L52" i="5" s="1"/>
  <c r="F52" i="5"/>
  <c r="J51" i="5"/>
  <c r="L51" i="5" s="1"/>
  <c r="F51" i="5"/>
  <c r="J50" i="5"/>
  <c r="L50" i="5" s="1"/>
  <c r="F50" i="5"/>
  <c r="J49" i="5"/>
  <c r="L49" i="5" s="1"/>
  <c r="F49" i="5"/>
  <c r="J48" i="5"/>
  <c r="L48" i="5" s="1"/>
  <c r="F48" i="5"/>
  <c r="J47" i="5"/>
  <c r="L47" i="5" s="1"/>
  <c r="F47" i="5"/>
  <c r="J46" i="5"/>
  <c r="L46" i="5" s="1"/>
  <c r="F46" i="5"/>
  <c r="J45" i="5"/>
  <c r="L45" i="5" s="1"/>
  <c r="F45" i="5"/>
  <c r="J44" i="5"/>
  <c r="L44" i="5" s="1"/>
  <c r="F44" i="5"/>
  <c r="J43" i="5"/>
  <c r="L43" i="5" s="1"/>
  <c r="F43" i="5"/>
  <c r="J42" i="5"/>
  <c r="L42" i="5" s="1"/>
  <c r="F42" i="5"/>
  <c r="J41" i="5"/>
  <c r="L41" i="5" s="1"/>
  <c r="F41" i="5"/>
  <c r="J40" i="5"/>
  <c r="L40" i="5" s="1"/>
  <c r="F40" i="5"/>
  <c r="J39" i="5"/>
  <c r="L39" i="5" s="1"/>
  <c r="F39" i="5"/>
  <c r="J38" i="5"/>
  <c r="L38" i="5" s="1"/>
  <c r="F38" i="5"/>
  <c r="J37" i="5"/>
  <c r="L37" i="5" s="1"/>
  <c r="F37" i="5"/>
  <c r="J36" i="5"/>
  <c r="L36" i="5" s="1"/>
  <c r="F36" i="5"/>
  <c r="J35" i="5"/>
  <c r="L35" i="5" s="1"/>
  <c r="F35" i="5"/>
  <c r="J34" i="5"/>
  <c r="L34" i="5" s="1"/>
  <c r="F34" i="5"/>
  <c r="J33" i="5"/>
  <c r="L33" i="5" s="1"/>
  <c r="F33" i="5"/>
  <c r="J32" i="5"/>
  <c r="L32" i="5" s="1"/>
  <c r="F32" i="5"/>
  <c r="J31" i="5"/>
  <c r="L31" i="5" s="1"/>
  <c r="F31" i="5"/>
  <c r="J30" i="5"/>
  <c r="L30" i="5" s="1"/>
  <c r="F30" i="5"/>
  <c r="J29" i="5"/>
  <c r="L29" i="5" s="1"/>
  <c r="F29" i="5"/>
  <c r="J28" i="5"/>
  <c r="L28" i="5" s="1"/>
  <c r="F28" i="5"/>
  <c r="J27" i="5"/>
  <c r="L27" i="5" s="1"/>
  <c r="F27" i="5"/>
  <c r="J26" i="5"/>
  <c r="L26" i="5" s="1"/>
  <c r="F26" i="5"/>
  <c r="J25" i="5"/>
  <c r="L25" i="5" s="1"/>
  <c r="F25" i="5"/>
  <c r="J24" i="5"/>
  <c r="L24" i="5" s="1"/>
  <c r="F24" i="5"/>
  <c r="J23" i="5"/>
  <c r="L23" i="5" s="1"/>
  <c r="F23" i="5"/>
  <c r="J22" i="5"/>
  <c r="L22" i="5" s="1"/>
  <c r="F22" i="5"/>
  <c r="J21" i="5"/>
  <c r="L21" i="5" s="1"/>
  <c r="F21" i="5"/>
  <c r="J20" i="5"/>
  <c r="L20" i="5" s="1"/>
  <c r="F20" i="5"/>
  <c r="J19" i="5"/>
  <c r="L19" i="5" s="1"/>
  <c r="F19" i="5"/>
  <c r="J18" i="5"/>
  <c r="L18" i="5" s="1"/>
  <c r="F18" i="5"/>
  <c r="J17" i="5"/>
  <c r="L17" i="5" s="1"/>
  <c r="F17" i="5"/>
  <c r="J16" i="5"/>
  <c r="L16" i="5" s="1"/>
  <c r="F16" i="5"/>
  <c r="J15" i="5"/>
  <c r="L15" i="5" s="1"/>
  <c r="F15" i="5"/>
  <c r="J14" i="5"/>
  <c r="L14" i="5" s="1"/>
  <c r="F14" i="5"/>
  <c r="J13" i="5"/>
  <c r="L13" i="5" s="1"/>
  <c r="F13" i="5"/>
  <c r="J12" i="5"/>
  <c r="L12" i="5" s="1"/>
  <c r="F12" i="5"/>
  <c r="J11" i="5"/>
  <c r="L11" i="5" s="1"/>
  <c r="F11" i="5"/>
  <c r="J10" i="5"/>
  <c r="L10" i="5" s="1"/>
  <c r="F10" i="5"/>
  <c r="J9" i="5"/>
  <c r="L9" i="5" s="1"/>
  <c r="F9" i="5"/>
  <c r="J8" i="5"/>
  <c r="L8" i="5" s="1"/>
  <c r="F8" i="5"/>
  <c r="J7" i="5"/>
  <c r="L7" i="5" s="1"/>
  <c r="F7" i="5"/>
  <c r="J6" i="5"/>
  <c r="L6" i="5" s="1"/>
  <c r="F6" i="5"/>
  <c r="J5" i="5"/>
  <c r="L5" i="5" s="1"/>
  <c r="F5" i="5"/>
  <c r="K142" i="4"/>
  <c r="C5" i="10" s="1"/>
  <c r="J140" i="4"/>
  <c r="L140" i="4" s="1"/>
  <c r="F140" i="4"/>
  <c r="J139" i="4"/>
  <c r="L139" i="4" s="1"/>
  <c r="F139" i="4"/>
  <c r="J138" i="4"/>
  <c r="L138" i="4" s="1"/>
  <c r="F138" i="4"/>
  <c r="J137" i="4"/>
  <c r="L137" i="4" s="1"/>
  <c r="F137" i="4"/>
  <c r="J136" i="4"/>
  <c r="L136" i="4" s="1"/>
  <c r="F136" i="4"/>
  <c r="J135" i="4"/>
  <c r="L135" i="4" s="1"/>
  <c r="F135" i="4"/>
  <c r="J134" i="4"/>
  <c r="L134" i="4" s="1"/>
  <c r="F134" i="4"/>
  <c r="J133" i="4"/>
  <c r="L133" i="4" s="1"/>
  <c r="F133" i="4"/>
  <c r="J132" i="4"/>
  <c r="L132" i="4" s="1"/>
  <c r="F132" i="4"/>
  <c r="J131" i="4"/>
  <c r="L131" i="4" s="1"/>
  <c r="F131" i="4"/>
  <c r="J130" i="4"/>
  <c r="L130" i="4" s="1"/>
  <c r="F130" i="4"/>
  <c r="J129" i="4"/>
  <c r="L129" i="4" s="1"/>
  <c r="F129" i="4"/>
  <c r="J128" i="4"/>
  <c r="L128" i="4" s="1"/>
  <c r="F128" i="4"/>
  <c r="J127" i="4"/>
  <c r="L127" i="4" s="1"/>
  <c r="F127" i="4"/>
  <c r="J126" i="4"/>
  <c r="L126" i="4" s="1"/>
  <c r="F126" i="4"/>
  <c r="J125" i="4"/>
  <c r="L125" i="4" s="1"/>
  <c r="F125" i="4"/>
  <c r="J124" i="4"/>
  <c r="L124" i="4" s="1"/>
  <c r="F124" i="4"/>
  <c r="J123" i="4"/>
  <c r="L123" i="4" s="1"/>
  <c r="F123" i="4"/>
  <c r="J122" i="4"/>
  <c r="L122" i="4" s="1"/>
  <c r="F122" i="4"/>
  <c r="J121" i="4"/>
  <c r="L121" i="4" s="1"/>
  <c r="F121" i="4"/>
  <c r="J120" i="4"/>
  <c r="L120" i="4" s="1"/>
  <c r="F120" i="4"/>
  <c r="J119" i="4"/>
  <c r="L119" i="4" s="1"/>
  <c r="F119" i="4"/>
  <c r="J118" i="4"/>
  <c r="L118" i="4" s="1"/>
  <c r="F118" i="4"/>
  <c r="J117" i="4"/>
  <c r="L117" i="4" s="1"/>
  <c r="F117" i="4"/>
  <c r="J116" i="4"/>
  <c r="L116" i="4" s="1"/>
  <c r="F116" i="4"/>
  <c r="J115" i="4"/>
  <c r="L115" i="4" s="1"/>
  <c r="F115" i="4"/>
  <c r="J114" i="4"/>
  <c r="L114" i="4" s="1"/>
  <c r="F114" i="4"/>
  <c r="J113" i="4"/>
  <c r="L113" i="4" s="1"/>
  <c r="F113" i="4"/>
  <c r="J112" i="4"/>
  <c r="L112" i="4" s="1"/>
  <c r="F112" i="4"/>
  <c r="J111" i="4"/>
  <c r="L111" i="4" s="1"/>
  <c r="F111" i="4"/>
  <c r="J110" i="4"/>
  <c r="L110" i="4" s="1"/>
  <c r="F110" i="4"/>
  <c r="J109" i="4"/>
  <c r="L109" i="4" s="1"/>
  <c r="F109" i="4"/>
  <c r="J108" i="4"/>
  <c r="L108" i="4" s="1"/>
  <c r="F108" i="4"/>
  <c r="J107" i="4"/>
  <c r="L107" i="4" s="1"/>
  <c r="F107" i="4"/>
  <c r="J106" i="4"/>
  <c r="L106" i="4" s="1"/>
  <c r="F106" i="4"/>
  <c r="J105" i="4"/>
  <c r="L105" i="4" s="1"/>
  <c r="F105" i="4"/>
  <c r="J104" i="4"/>
  <c r="L104" i="4" s="1"/>
  <c r="F104" i="4"/>
  <c r="J103" i="4"/>
  <c r="L103" i="4" s="1"/>
  <c r="F103" i="4"/>
  <c r="J102" i="4"/>
  <c r="L102" i="4" s="1"/>
  <c r="F102" i="4"/>
  <c r="J101" i="4"/>
  <c r="L101" i="4" s="1"/>
  <c r="F101" i="4"/>
  <c r="J100" i="4"/>
  <c r="L100" i="4" s="1"/>
  <c r="F100" i="4"/>
  <c r="J99" i="4"/>
  <c r="L99" i="4" s="1"/>
  <c r="F99" i="4"/>
  <c r="J98" i="4"/>
  <c r="L98" i="4" s="1"/>
  <c r="F98" i="4"/>
  <c r="J97" i="4"/>
  <c r="L97" i="4" s="1"/>
  <c r="F97" i="4"/>
  <c r="J96" i="4"/>
  <c r="L96" i="4" s="1"/>
  <c r="F96" i="4"/>
  <c r="J95" i="4"/>
  <c r="L95" i="4" s="1"/>
  <c r="F95" i="4"/>
  <c r="J94" i="4"/>
  <c r="L94" i="4" s="1"/>
  <c r="F94" i="4"/>
  <c r="J93" i="4"/>
  <c r="L93" i="4" s="1"/>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C15" i="3"/>
  <c r="C14" i="3"/>
  <c r="C13" i="3"/>
  <c r="C12" i="3"/>
  <c r="C11" i="3"/>
  <c r="C10" i="3"/>
  <c r="C9" i="3"/>
  <c r="C8" i="3"/>
  <c r="C7" i="3"/>
  <c r="C6" i="3"/>
  <c r="J84" i="8" l="1"/>
  <c r="L84" i="8" s="1"/>
  <c r="J85" i="8"/>
  <c r="L85" i="8" s="1"/>
  <c r="J70" i="6"/>
  <c r="L70" i="6" s="1"/>
  <c r="J69" i="6"/>
  <c r="L69" i="6" s="1"/>
  <c r="J68" i="6"/>
  <c r="L68" i="6" s="1"/>
  <c r="J67" i="6"/>
  <c r="L67" i="6" s="1"/>
  <c r="J66" i="6"/>
  <c r="L66" i="6" s="1"/>
  <c r="J65" i="6"/>
  <c r="L65" i="6" s="1"/>
  <c r="J64" i="6"/>
  <c r="L64" i="6" s="1"/>
  <c r="J63" i="6"/>
  <c r="L63" i="6" s="1"/>
  <c r="J62" i="6"/>
  <c r="L62" i="6" s="1"/>
  <c r="J61" i="6"/>
  <c r="L61" i="6" s="1"/>
  <c r="J60" i="6"/>
  <c r="L60" i="6" s="1"/>
  <c r="J59" i="6"/>
  <c r="L59" i="6" s="1"/>
  <c r="J58" i="6"/>
  <c r="L58" i="6" s="1"/>
  <c r="J57" i="6"/>
  <c r="L57" i="6" s="1"/>
  <c r="J56" i="6"/>
  <c r="L56" i="6" s="1"/>
  <c r="J55" i="6"/>
  <c r="L55" i="6" s="1"/>
  <c r="J54" i="6"/>
  <c r="L54" i="6" s="1"/>
  <c r="J53" i="6"/>
  <c r="L53" i="6" s="1"/>
  <c r="J52" i="6"/>
  <c r="L52" i="6" s="1"/>
  <c r="J51" i="6"/>
  <c r="L51" i="6" s="1"/>
  <c r="J50" i="6"/>
  <c r="L50" i="6" s="1"/>
  <c r="J49" i="6"/>
  <c r="L49" i="6" s="1"/>
  <c r="J48" i="6"/>
  <c r="L48" i="6" s="1"/>
  <c r="J47" i="6"/>
  <c r="L47" i="6" s="1"/>
  <c r="J46" i="6"/>
  <c r="L46" i="6" s="1"/>
  <c r="J45" i="6"/>
  <c r="L45" i="6" s="1"/>
  <c r="J44" i="6"/>
  <c r="L44" i="6" s="1"/>
  <c r="J43" i="6"/>
  <c r="L43" i="6" s="1"/>
  <c r="J42" i="6"/>
  <c r="L42" i="6" s="1"/>
  <c r="J41" i="6"/>
  <c r="L41" i="6" s="1"/>
  <c r="J86" i="8"/>
  <c r="L86" i="8" s="1"/>
  <c r="J39" i="6"/>
  <c r="L39" i="6" s="1"/>
  <c r="J38" i="6"/>
  <c r="L38" i="6" s="1"/>
  <c r="J37" i="6"/>
  <c r="L37" i="6" s="1"/>
  <c r="J36" i="6"/>
  <c r="L36" i="6" s="1"/>
  <c r="J35" i="6"/>
  <c r="L35" i="6" s="1"/>
  <c r="J34" i="6"/>
  <c r="L34" i="6" s="1"/>
  <c r="J33" i="6"/>
  <c r="L33" i="6" s="1"/>
  <c r="J32" i="6"/>
  <c r="L32" i="6" s="1"/>
  <c r="J31" i="6"/>
  <c r="L31" i="6" s="1"/>
  <c r="J30" i="6"/>
  <c r="L30" i="6" s="1"/>
  <c r="J29" i="6"/>
  <c r="L29" i="6" s="1"/>
  <c r="J28" i="6"/>
  <c r="L28" i="6" s="1"/>
  <c r="J27" i="6"/>
  <c r="L27" i="6" s="1"/>
  <c r="J26" i="6"/>
  <c r="L26" i="6" s="1"/>
  <c r="J25" i="6"/>
  <c r="L25" i="6" s="1"/>
  <c r="J24" i="6"/>
  <c r="L24" i="6" s="1"/>
  <c r="J23" i="6"/>
  <c r="L23" i="6" s="1"/>
  <c r="J22" i="6"/>
  <c r="L22" i="6" s="1"/>
  <c r="J21" i="6"/>
  <c r="L21" i="6" s="1"/>
  <c r="J20" i="6"/>
  <c r="L20" i="6" s="1"/>
  <c r="J19" i="6"/>
  <c r="L19" i="6" s="1"/>
  <c r="J18" i="6"/>
  <c r="L18" i="6" s="1"/>
  <c r="J87" i="8"/>
  <c r="L87" i="8" s="1"/>
  <c r="J85" i="9"/>
  <c r="L85" i="9" s="1"/>
  <c r="J84" i="9"/>
  <c r="L84" i="9" s="1"/>
  <c r="J83" i="9"/>
  <c r="L83" i="9" s="1"/>
  <c r="J82" i="9"/>
  <c r="L82" i="9" s="1"/>
  <c r="J81" i="9"/>
  <c r="L81" i="9" s="1"/>
  <c r="J80" i="9"/>
  <c r="L80" i="9" s="1"/>
  <c r="J79" i="9"/>
  <c r="L79" i="9" s="1"/>
  <c r="J78" i="9"/>
  <c r="L78" i="9" s="1"/>
  <c r="J77" i="9"/>
  <c r="L77" i="9" s="1"/>
  <c r="J76" i="9"/>
  <c r="L76" i="9" s="1"/>
  <c r="J75" i="9"/>
  <c r="L75" i="9" s="1"/>
  <c r="J74" i="9"/>
  <c r="L74" i="9" s="1"/>
  <c r="J73" i="9"/>
  <c r="L73" i="9" s="1"/>
  <c r="J72" i="9"/>
  <c r="L72" i="9" s="1"/>
  <c r="J71" i="9"/>
  <c r="L71" i="9" s="1"/>
  <c r="J70" i="9"/>
  <c r="L70" i="9" s="1"/>
  <c r="J69" i="9"/>
  <c r="L69" i="9" s="1"/>
  <c r="J68" i="9"/>
  <c r="L68" i="9" s="1"/>
  <c r="J67" i="9"/>
  <c r="L67" i="9" s="1"/>
  <c r="J66" i="9"/>
  <c r="L66" i="9" s="1"/>
  <c r="J55" i="9"/>
  <c r="L55" i="9" s="1"/>
  <c r="J54" i="9"/>
  <c r="L54" i="9" s="1"/>
  <c r="J53" i="9"/>
  <c r="L53" i="9" s="1"/>
  <c r="J52" i="9"/>
  <c r="L52" i="9" s="1"/>
  <c r="J51" i="9"/>
  <c r="L51" i="9" s="1"/>
  <c r="J50" i="9"/>
  <c r="L50" i="9" s="1"/>
  <c r="J49" i="9"/>
  <c r="L49" i="9" s="1"/>
  <c r="J48" i="9"/>
  <c r="L48" i="9" s="1"/>
  <c r="J47" i="9"/>
  <c r="L47" i="9" s="1"/>
  <c r="J46" i="9"/>
  <c r="L46" i="9" s="1"/>
  <c r="J88" i="8"/>
  <c r="L88" i="8" s="1"/>
  <c r="J45" i="9"/>
  <c r="L45" i="9" s="1"/>
  <c r="J92" i="4"/>
  <c r="L92" i="4" s="1"/>
  <c r="J91" i="4"/>
  <c r="L91" i="4" s="1"/>
  <c r="J90" i="4"/>
  <c r="L90" i="4" s="1"/>
  <c r="J89" i="4"/>
  <c r="L89" i="4" s="1"/>
  <c r="J88" i="4"/>
  <c r="L88" i="4" s="1"/>
  <c r="J87" i="4"/>
  <c r="L87" i="4" s="1"/>
  <c r="J86" i="4"/>
  <c r="L86" i="4" s="1"/>
  <c r="J85" i="4"/>
  <c r="L85" i="4" s="1"/>
  <c r="J84" i="4"/>
  <c r="L84" i="4" s="1"/>
  <c r="J83" i="4"/>
  <c r="L83" i="4" s="1"/>
  <c r="J82" i="4"/>
  <c r="L82" i="4" s="1"/>
  <c r="J81" i="4"/>
  <c r="L81" i="4" s="1"/>
  <c r="J80" i="4"/>
  <c r="L80" i="4" s="1"/>
  <c r="J79" i="4"/>
  <c r="L79" i="4" s="1"/>
  <c r="J78" i="4"/>
  <c r="L78" i="4" s="1"/>
  <c r="J77" i="4"/>
  <c r="L77" i="4" s="1"/>
  <c r="J76" i="4"/>
  <c r="L76" i="4" s="1"/>
  <c r="J75" i="4"/>
  <c r="L75" i="4" s="1"/>
  <c r="J74" i="4"/>
  <c r="L74" i="4" s="1"/>
  <c r="J73" i="4"/>
  <c r="L73" i="4" s="1"/>
  <c r="J72" i="4"/>
  <c r="L72" i="4" s="1"/>
  <c r="J71" i="4"/>
  <c r="L71" i="4" s="1"/>
  <c r="J70" i="4"/>
  <c r="L70" i="4" s="1"/>
  <c r="J69" i="4"/>
  <c r="L69" i="4" s="1"/>
  <c r="J68" i="4"/>
  <c r="L68" i="4" s="1"/>
  <c r="J67" i="4"/>
  <c r="L67" i="4" s="1"/>
  <c r="J66" i="4"/>
  <c r="L66" i="4" s="1"/>
  <c r="J65" i="4"/>
  <c r="L65" i="4" s="1"/>
  <c r="J64" i="4"/>
  <c r="L64" i="4" s="1"/>
  <c r="J63" i="4"/>
  <c r="L63" i="4" s="1"/>
  <c r="J32" i="4"/>
  <c r="L32" i="4" s="1"/>
  <c r="J31" i="4"/>
  <c r="L31" i="4" s="1"/>
  <c r="J30" i="4"/>
  <c r="L30" i="4" s="1"/>
  <c r="J29" i="4"/>
  <c r="L29" i="4" s="1"/>
  <c r="J28" i="4"/>
  <c r="L28" i="4" s="1"/>
  <c r="J27" i="4"/>
  <c r="L27" i="4" s="1"/>
  <c r="J26" i="4"/>
  <c r="L26" i="4" s="1"/>
  <c r="J25" i="4"/>
  <c r="L25" i="4" s="1"/>
  <c r="J24" i="4"/>
  <c r="L24" i="4" s="1"/>
  <c r="J23" i="4"/>
  <c r="L23" i="4" s="1"/>
  <c r="J22" i="4"/>
  <c r="L22" i="4" s="1"/>
  <c r="J21" i="4"/>
  <c r="L21" i="4" s="1"/>
  <c r="J20" i="4"/>
  <c r="L20" i="4" s="1"/>
  <c r="J19" i="4"/>
  <c r="L19" i="4" s="1"/>
  <c r="J18" i="4"/>
  <c r="L18" i="4" s="1"/>
  <c r="J17" i="4"/>
  <c r="L17" i="4" s="1"/>
  <c r="J16" i="4"/>
  <c r="L16" i="4" s="1"/>
  <c r="J15" i="4"/>
  <c r="L15" i="4" s="1"/>
  <c r="J14" i="4"/>
  <c r="L14" i="4" s="1"/>
  <c r="J13" i="4"/>
  <c r="L13" i="4" s="1"/>
  <c r="J89" i="8"/>
  <c r="L89" i="8" s="1"/>
  <c r="J90" i="8"/>
  <c r="L90" i="8" s="1"/>
  <c r="J91" i="8"/>
  <c r="L91" i="8" s="1"/>
  <c r="J92" i="8"/>
  <c r="L92" i="8" s="1"/>
  <c r="J93" i="8"/>
  <c r="L93" i="8" s="1"/>
  <c r="J94" i="8"/>
  <c r="L94" i="8" s="1"/>
  <c r="J95" i="8"/>
  <c r="L95" i="8" s="1"/>
  <c r="J96" i="8"/>
  <c r="L96" i="8" s="1"/>
  <c r="J44" i="9"/>
  <c r="L44" i="9" s="1"/>
  <c r="J98" i="8"/>
  <c r="L98" i="8" s="1"/>
  <c r="J99" i="8"/>
  <c r="L99" i="8" s="1"/>
  <c r="J100" i="8"/>
  <c r="L100" i="8" s="1"/>
  <c r="J101" i="8"/>
  <c r="L101" i="8" s="1"/>
  <c r="J102" i="8"/>
  <c r="L102" i="8" s="1"/>
  <c r="J103" i="8"/>
  <c r="L103" i="8" s="1"/>
  <c r="J104" i="8"/>
  <c r="L104" i="8" s="1"/>
  <c r="J105" i="8"/>
  <c r="L105" i="8" s="1"/>
  <c r="J106" i="8"/>
  <c r="L106" i="8" s="1"/>
  <c r="J107" i="8"/>
  <c r="L107" i="8" s="1"/>
  <c r="J108" i="8"/>
  <c r="L108" i="8" s="1"/>
  <c r="J109" i="8"/>
  <c r="L109" i="8" s="1"/>
  <c r="J110" i="8"/>
  <c r="L110" i="8" s="1"/>
  <c r="J111" i="8"/>
  <c r="L111" i="8" s="1"/>
  <c r="J43" i="9"/>
  <c r="L43" i="9" s="1"/>
  <c r="J112" i="8"/>
  <c r="L112" i="8" s="1"/>
  <c r="J42" i="9"/>
  <c r="L42" i="9" s="1"/>
  <c r="J41" i="9"/>
  <c r="L41" i="9" s="1"/>
  <c r="J40" i="9"/>
  <c r="L40" i="9" s="1"/>
  <c r="J39" i="9"/>
  <c r="L39" i="9" s="1"/>
  <c r="J38" i="9"/>
  <c r="L38" i="9" s="1"/>
  <c r="J37" i="9"/>
  <c r="L37" i="9" s="1"/>
  <c r="J36" i="9"/>
  <c r="L36" i="9" s="1"/>
  <c r="J35" i="9"/>
  <c r="L35" i="9" s="1"/>
  <c r="J34" i="9"/>
  <c r="L34" i="9" s="1"/>
  <c r="J33" i="9"/>
  <c r="L33" i="9" s="1"/>
  <c r="J32" i="9"/>
  <c r="L32" i="9" s="1"/>
  <c r="J7" i="9"/>
  <c r="L7" i="9" s="1"/>
  <c r="J8" i="9"/>
  <c r="L8" i="9" s="1"/>
  <c r="J9" i="9"/>
  <c r="L9" i="9" s="1"/>
  <c r="J10" i="9"/>
  <c r="L10" i="9" s="1"/>
  <c r="J11" i="9"/>
  <c r="L11" i="9" s="1"/>
  <c r="J12" i="9"/>
  <c r="L12" i="9" s="1"/>
  <c r="J13" i="9"/>
  <c r="L13" i="9" s="1"/>
  <c r="J14" i="9"/>
  <c r="L14" i="9" s="1"/>
  <c r="J15" i="9"/>
  <c r="L15" i="9" s="1"/>
  <c r="J16" i="9"/>
  <c r="L16" i="9" s="1"/>
  <c r="J17" i="9"/>
  <c r="L17" i="9" s="1"/>
  <c r="J18" i="9"/>
  <c r="L18" i="9" s="1"/>
  <c r="J19" i="9"/>
  <c r="L19" i="9" s="1"/>
  <c r="J20" i="9"/>
  <c r="L20" i="9" s="1"/>
  <c r="J21" i="9"/>
  <c r="L21" i="9" s="1"/>
  <c r="J22" i="9"/>
  <c r="L22" i="9" s="1"/>
  <c r="J23" i="9"/>
  <c r="L23" i="9" s="1"/>
  <c r="J97" i="8"/>
  <c r="L97" i="8" s="1"/>
  <c r="J31" i="9"/>
  <c r="L31" i="9" s="1"/>
  <c r="J30" i="9"/>
  <c r="L30" i="9" s="1"/>
  <c r="J29" i="9"/>
  <c r="L29" i="9" s="1"/>
  <c r="J28" i="9"/>
  <c r="L28" i="9" s="1"/>
  <c r="J27" i="9"/>
  <c r="L27" i="9" s="1"/>
  <c r="J26" i="9"/>
  <c r="L26" i="9" s="1"/>
  <c r="J25" i="9"/>
  <c r="L25" i="9" s="1"/>
  <c r="J62" i="4"/>
  <c r="L62" i="4" s="1"/>
  <c r="J61" i="4"/>
  <c r="L61" i="4" s="1"/>
  <c r="J60" i="4"/>
  <c r="L60" i="4" s="1"/>
  <c r="J59" i="4"/>
  <c r="L59" i="4" s="1"/>
  <c r="J58" i="4"/>
  <c r="L58" i="4" s="1"/>
  <c r="J57" i="4"/>
  <c r="L57" i="4" s="1"/>
  <c r="J56" i="4"/>
  <c r="L56" i="4" s="1"/>
  <c r="J55" i="4"/>
  <c r="L55" i="4" s="1"/>
  <c r="J54" i="4"/>
  <c r="L54" i="4" s="1"/>
  <c r="J53" i="4"/>
  <c r="L53" i="4" s="1"/>
  <c r="J52" i="4"/>
  <c r="L52" i="4" s="1"/>
  <c r="J51" i="4"/>
  <c r="L51" i="4" s="1"/>
  <c r="J50" i="4"/>
  <c r="L50" i="4" s="1"/>
  <c r="J49" i="4"/>
  <c r="L49" i="4" s="1"/>
  <c r="J48" i="4"/>
  <c r="L48" i="4" s="1"/>
  <c r="J47" i="4"/>
  <c r="L47" i="4" s="1"/>
  <c r="J46" i="4"/>
  <c r="L46" i="4" s="1"/>
  <c r="J45" i="4"/>
  <c r="L45" i="4" s="1"/>
  <c r="J44" i="4"/>
  <c r="L44" i="4" s="1"/>
  <c r="J43" i="4"/>
  <c r="L43" i="4" s="1"/>
  <c r="J42" i="4"/>
  <c r="L42" i="4" s="1"/>
  <c r="J41" i="4"/>
  <c r="L41" i="4" s="1"/>
  <c r="J40" i="4"/>
  <c r="L40" i="4" s="1"/>
  <c r="J39" i="4"/>
  <c r="L39" i="4" s="1"/>
  <c r="J38" i="4"/>
  <c r="L38" i="4" s="1"/>
  <c r="J37" i="4"/>
  <c r="L37" i="4" s="1"/>
  <c r="J36" i="4"/>
  <c r="L36" i="4" s="1"/>
  <c r="J35" i="4"/>
  <c r="L35" i="4" s="1"/>
  <c r="J34" i="4"/>
  <c r="L34" i="4" s="1"/>
  <c r="J33" i="4"/>
  <c r="L33" i="4" s="1"/>
  <c r="J12" i="4"/>
  <c r="L12" i="4" s="1"/>
  <c r="J11" i="4"/>
  <c r="L11" i="4" s="1"/>
  <c r="J10" i="4"/>
  <c r="L10" i="4" s="1"/>
  <c r="J9" i="4"/>
  <c r="L9" i="4" s="1"/>
  <c r="J8" i="4"/>
  <c r="L8" i="4" s="1"/>
  <c r="J7" i="4"/>
  <c r="L7" i="4" s="1"/>
  <c r="J6" i="4"/>
  <c r="L6" i="4" s="1"/>
  <c r="J5" i="4"/>
  <c r="L5" i="4" s="1"/>
  <c r="L76" i="7"/>
  <c r="D8" i="10" s="1"/>
  <c r="L73" i="5"/>
  <c r="D6" i="10" s="1"/>
  <c r="L75" i="6" l="1"/>
  <c r="D7" i="10" s="1"/>
  <c r="L143" i="9"/>
  <c r="D10" i="10" s="1"/>
  <c r="L142" i="4"/>
  <c r="D5" i="10" s="1"/>
  <c r="L124" i="8"/>
  <c r="D9" i="10" s="1"/>
</calcChain>
</file>

<file path=xl/sharedStrings.xml><?xml version="1.0" encoding="utf-8"?>
<sst xmlns="http://schemas.openxmlformats.org/spreadsheetml/2006/main" count="3754" uniqueCount="1231">
  <si>
    <t>Project Pricing Workbook</t>
  </si>
  <si>
    <t>One tab per build platform. Same columns on every tab, so you can compare like for like.</t>
  </si>
  <si>
    <t>TABS</t>
  </si>
  <si>
    <t>Categories</t>
  </si>
  <si>
    <t>Master category list. Every task points to one of these by category_id.</t>
  </si>
  <si>
    <t>Rates</t>
  </si>
  <si>
    <t>Your hourly rates. Fill in the yellow cells. Every tab reads from here.</t>
  </si>
  <si>
    <t>WordPress / Squarespace / Shopify / WIX / PHP-HTML-CSS / React-NextJS</t>
  </si>
  <si>
    <t>The task libraries. Filter by Category, Responsible, or Level to build a quote.</t>
  </si>
  <si>
    <t>Summary</t>
  </si>
  <si>
    <t>Total hours and cost per platform, so you can compare platforms at a glance.</t>
  </si>
  <si>
    <t>COLUMNS</t>
  </si>
  <si>
    <t>category_id / Category</t>
  </si>
  <si>
    <t>Which category the task belongs to. Category name fills in automatically.</t>
  </si>
  <si>
    <t>Base Hours</t>
  </si>
  <si>
    <t>Your original hours. I did not change any of them.</t>
  </si>
  <si>
    <t>Responsible</t>
  </si>
  <si>
    <t>Who does the work: IT, Creative, Project Manager, QA Tester, or Project Coordinator.</t>
  </si>
  <si>
    <t>Level</t>
  </si>
  <si>
    <t>Level 1 = standard config and build work. Level 2 = senior, custom-coded, or higher-risk work.</t>
  </si>
  <si>
    <t>Rate</t>
  </si>
  <si>
    <t>Pulled automatically from the Rates tab using Responsible + Level.</t>
  </si>
  <si>
    <t>Estimated Cost</t>
  </si>
  <si>
    <t>Base Hours x Rate.</t>
  </si>
  <si>
    <t>Hours – Things to Consider</t>
  </si>
  <si>
    <t>What can push the hours up or down. A note only; it changes no calculation.</t>
  </si>
  <si>
    <t>HOW TO QUOTE A JOB</t>
  </si>
  <si>
    <t>Step 1</t>
  </si>
  <si>
    <t>Open the tab for the platform you are building on.</t>
  </si>
  <si>
    <t>Step 2</t>
  </si>
  <si>
    <t>Filter or highlight only the tasks that job actually needs.</t>
  </si>
  <si>
    <t>Step 3</t>
  </si>
  <si>
    <t>Read the 'Things to Consider' notes before you commit to the hours.</t>
  </si>
  <si>
    <t>Step 4</t>
  </si>
  <si>
    <t>Add up the Estimated Cost of the tasks you selected. The tab TOTAL is the whole library, not a quote.</t>
  </si>
  <si>
    <t>STILL TO ADD</t>
  </si>
  <si>
    <t>Difficulty sub-category</t>
  </si>
  <si>
    <t>Easy / Medium / Hard inside each category, so harder tasks bill more than easy ones.</t>
  </si>
  <si>
    <t>Discovery, PM, Docs &amp; Training</t>
  </si>
  <si>
    <t>Categories 10, 11, 21 exist but have no tasks yet on any tab.</t>
  </si>
  <si>
    <t>Local SEO / SEO off-page / Maintenance</t>
  </si>
  <si>
    <t>Categories 16, 17, 23 exist but have no tasks yet on any tab.</t>
  </si>
  <si>
    <t>Add a new category here and it becomes available to every platform tab.</t>
  </si>
  <si>
    <t>category_id</t>
  </si>
  <si>
    <t>Category</t>
  </si>
  <si>
    <t>Description</t>
  </si>
  <si>
    <t>Accessibility</t>
  </si>
  <si>
    <t>Making the site usable for people with disabilities (WCAG/ADA compliance).</t>
  </si>
  <si>
    <t>Backend</t>
  </si>
  <si>
    <t>Server-side logic, APIs, and application functionality.</t>
  </si>
  <si>
    <t>CMS &amp; Content Prep</t>
  </si>
  <si>
    <t>Setting up the CMS and preparing content so the client can manage the site.</t>
  </si>
  <si>
    <t>Conversion Tracking</t>
  </si>
  <si>
    <t>Measuring and reporting the actions visitors take on the site.</t>
  </si>
  <si>
    <t>Custom Tools</t>
  </si>
  <si>
    <t>Calculators, configurators, and other custom-built features.</t>
  </si>
  <si>
    <t>Data Migration</t>
  </si>
  <si>
    <t>Moving content, users, and data from an old system to the new one.</t>
  </si>
  <si>
    <t>Database</t>
  </si>
  <si>
    <t>Designing, building, and optimizing the database that stores project data.</t>
  </si>
  <si>
    <t>Deployment</t>
  </si>
  <si>
    <t>Publishing the site or software to the live server.</t>
  </si>
  <si>
    <t>Design</t>
  </si>
  <si>
    <t>Visual design, layouts, and user experience.</t>
  </si>
  <si>
    <t>Discovery &amp; Planning</t>
  </si>
  <si>
    <t>Gathering requirements, scoping the project, and planning the build.</t>
  </si>
  <si>
    <t>Documentation &amp; Training</t>
  </si>
  <si>
    <t>User guides and training so the client can run the site themselves.</t>
  </si>
  <si>
    <t>E-Commerce</t>
  </si>
  <si>
    <t>Online store features, product catalog, cart, and checkout.</t>
  </si>
  <si>
    <t>Environment Setup</t>
  </si>
  <si>
    <t>Setting up development, staging, and production environments.</t>
  </si>
  <si>
    <t>Frontend</t>
  </si>
  <si>
    <t>UI components and client-side features users interact with.</t>
  </si>
  <si>
    <t>Integration</t>
  </si>
  <si>
    <t>Connecting third-party services and APIs.</t>
  </si>
  <si>
    <t>Local SEO</t>
  </si>
  <si>
    <t>Improving visibility in local search results and maps.</t>
  </si>
  <si>
    <t>Maintenance &amp; Support</t>
  </si>
  <si>
    <t>Ongoing updates, backups, monitoring, and fixes after launch.</t>
  </si>
  <si>
    <t>Performance &amp; Security</t>
  </si>
  <si>
    <t>Speed optimization and protecting the site from threats.</t>
  </si>
  <si>
    <t>Project Management</t>
  </si>
  <si>
    <t>Coordinating the project, client communication, and revisions.</t>
  </si>
  <si>
    <t>SEO &amp; Content</t>
  </si>
  <si>
    <t>Blog setup, content structure, and general SEO groundwork.</t>
  </si>
  <si>
    <t>SEO off-page</t>
  </si>
  <si>
    <t>Building authority outside the site, such as backlinks and listings.</t>
  </si>
  <si>
    <t>SEO on-page</t>
  </si>
  <si>
    <t>Optimizing pages and content to rank in search results.</t>
  </si>
  <si>
    <t>QA &amp; Testing</t>
  </si>
  <si>
    <t>Testing the site or software to find and fix bugs before launch.</t>
  </si>
  <si>
    <t>Hourly Rates</t>
  </si>
  <si>
    <t>EDIT THE YELLOW CELLS. These feed the Rate and Estimated Cost columns on every platform tab.</t>
  </si>
  <si>
    <t>Level 2 = senior / higher skill / higher risk. It should always be priced above Level 1.</t>
  </si>
  <si>
    <t>Lookup Key</t>
  </si>
  <si>
    <t>Hourly Rate</t>
  </si>
  <si>
    <t>IT</t>
  </si>
  <si>
    <t>Level 1</t>
  </si>
  <si>
    <t>Level 2</t>
  </si>
  <si>
    <t>Creative</t>
  </si>
  <si>
    <t>Project Manager</t>
  </si>
  <si>
    <t>QA Tester</t>
  </si>
  <si>
    <t>Project Coordinator</t>
  </si>
  <si>
    <t>These are placeholder examples only. Your edited rates were not in the file you sent, so replace these with your own numbers.</t>
  </si>
  <si>
    <t>Task Pricing – WordPress</t>
  </si>
  <si>
    <t>Base Hours unchanged from your original sheet.</t>
  </si>
  <si>
    <t>id</t>
  </si>
  <si>
    <t>Dependencies</t>
  </si>
  <si>
    <t>Module</t>
  </si>
  <si>
    <t>Name</t>
  </si>
  <si>
    <t>Homepage – Standard</t>
  </si>
  <si>
    <t>Hero Section</t>
  </si>
  <si>
    <t>Hero section and headline</t>
  </si>
  <si>
    <t>Assumes design is already approved. Add hours if animation or video background is required.</t>
  </si>
  <si>
    <t>Services or Product Grid</t>
  </si>
  <si>
    <t>Grid layout for displaying services, products, programs, or offerings (including nonprofit initiatives or services).</t>
  </si>
  <si>
    <t>Assumes a fixed number of items. Dynamic/CPT-driven grids cost more.</t>
  </si>
  <si>
    <t>Testimonials Slider-Dynamic</t>
  </si>
  <si>
    <t>Dynamic testimonials integration via external API (e.g., review platforms), not embed-based</t>
  </si>
  <si>
    <t>Depends on the review platform's API. Add hours if API keys, rate limits, or caching are involved.</t>
  </si>
  <si>
    <t>Testimonials Slider- embed</t>
  </si>
  <si>
    <t>Embedded testimonials using iframe or widget from external platforms.</t>
  </si>
  <si>
    <t>Styling a third-party widget can take longer than expected if the platform limits CSS.</t>
  </si>
  <si>
    <t>Team Preview</t>
  </si>
  <si>
    <t>Section highlighting team members, staff, or key representatives</t>
  </si>
  <si>
    <t>Per-person bios and photo cropping are usually content work, not build work.</t>
  </si>
  <si>
    <t>Footer Layout</t>
  </si>
  <si>
    <t>Structured footer with navigation and contact info</t>
  </si>
  <si>
    <t>Mega-footers with multiple menus and a newsletter form run higher.</t>
  </si>
  <si>
    <t>Homepage – Conversion</t>
  </si>
  <si>
    <t>Strong Hero Offer</t>
  </si>
  <si>
    <t>Strong hero offer with CTA</t>
  </si>
  <si>
    <t>Add hours if A/B variants of the hero are required.</t>
  </si>
  <si>
    <t>Benefits/Features</t>
  </si>
  <si>
    <t>Highlight product/service benefits</t>
  </si>
  <si>
    <t>Icon sourcing or custom icons may need Creative hours on top.</t>
  </si>
  <si>
    <t>Social Proof / Trust Badges</t>
  </si>
  <si>
    <t>Section showcasing logos, trust badges, or affiliations to build credibility, reinforce trust, and support conversion.</t>
  </si>
  <si>
    <t>Assumes client supplies logos in usable formats. Logo cleanup is Creative time.</t>
  </si>
  <si>
    <t>FAQ Section</t>
  </si>
  <si>
    <t>Frequently asked questions block</t>
  </si>
  <si>
    <t>Add a little time if FAQ schema markup is also required (see Schema Markup).</t>
  </si>
  <si>
    <t>Pricing Tables</t>
  </si>
  <si>
    <t>Structured plans with features and comparison layout</t>
  </si>
  <si>
    <t>Monthly/annual toggles or more than 3 plans push this higher.</t>
  </si>
  <si>
    <t>Galleries</t>
  </si>
  <si>
    <t>Image gallery layout for showcasing media (grid, slider, or lightbox)</t>
  </si>
  <si>
    <t>Assumes one gallery. Price per additional gallery, and add image prep time.</t>
  </si>
  <si>
    <t>Video embeds</t>
  </si>
  <si>
    <t>Embedded videos from platforms like YouTube or Vimeo</t>
  </si>
  <si>
    <t>Self-hosted video or custom players are a different, larger scope.</t>
  </si>
  <si>
    <t>Homepage - Standard</t>
  </si>
  <si>
    <t>Payment / Contribution Module</t>
  </si>
  <si>
    <t>Payment or contribution functionality using plugin-based integration (e.g., Stripe/PayPal), no custom gateway.</t>
  </si>
  <si>
    <t>Excludes merchant account setup and recurring donations. Test-mode and live-mode testing both take time.</t>
  </si>
  <si>
    <t>Use Cases</t>
  </si>
  <si>
    <t>Real-world scenarios or examples demonstrating how offerings are used</t>
  </si>
  <si>
    <t>Homepage – Multi-Industry</t>
  </si>
  <si>
    <t>Industry Selector</t>
  </si>
  <si>
    <t>Selector for multiple industries</t>
  </si>
  <si>
    <t>Hours scale with the number of industries. Confirm a cap in the quote.</t>
  </si>
  <si>
    <t>Location Selector</t>
  </si>
  <si>
    <t>Selector for multiple branches/locations</t>
  </si>
  <si>
    <t>Hours scale with the number of locations. Confirm a cap in the quote.</t>
  </si>
  <si>
    <t>Dynamic Content Sections</t>
  </si>
  <si>
    <t>Conditional content per audience</t>
  </si>
  <si>
    <t>Each extra condition/rule adds testing time, not just build time.</t>
  </si>
  <si>
    <t>Interactive Location Finder</t>
  </si>
  <si>
    <t>Map or location-based finder for offices, stores, or service areas</t>
  </si>
  <si>
    <t>Excludes map API billing (Google Maps is metered). Radius search and geolocation add hours.</t>
  </si>
  <si>
    <t>Multi-Audience Messaging</t>
  </si>
  <si>
    <t>Content tailored to different audience segments or user types</t>
  </si>
  <si>
    <t>Content writing for each segment is separate from the build.</t>
  </si>
  <si>
    <t>Core Page - Standard</t>
  </si>
  <si>
    <t>Standard Page (About, Services)</t>
  </si>
  <si>
    <t>Standard Content Page (About, Services, etc.)</t>
  </si>
  <si>
    <t>This is per page. Multiply by page count and confirm the total in the quote.</t>
  </si>
  <si>
    <t>Core Page - Landing Page</t>
  </si>
  <si>
    <t>Conversion Page</t>
  </si>
  <si>
    <t>Conversion-focused landing page designed to drive specific user actions (e.g., lead generation or sales), including structured sections such as hero, benefits, social proof, and strong CTAs using a reusable layout.</t>
  </si>
  <si>
    <t>Per page. Second and later landing pages using the same layout should be cheaper.</t>
  </si>
  <si>
    <t>Core Page - Contact Page</t>
  </si>
  <si>
    <t>Form or contact details page</t>
  </si>
  <si>
    <t>Contact page including form setup and/or business contact details, with clear layout, validation, and user-friendly structure for inquiries or lead capture.</t>
  </si>
  <si>
    <t>Includes one form. Map embed and multi-location contact info may add time.</t>
  </si>
  <si>
    <t>Core Page - Detail Pages</t>
  </si>
  <si>
    <t>Detail Template</t>
  </si>
  <si>
    <t>Template-based detail page for individual content (e.g., blog posts or service pages), structured for readability, SEO, and consistent layout</t>
  </si>
  <si>
    <t>Per template. Each additional content type usually needs its own template.</t>
  </si>
  <si>
    <t>Forms Spam Protection (reCAPTCHA)</t>
  </si>
  <si>
    <t>Implement and configure reCAPTCHA (v2/v3) on all forms to prevent spam submissions.</t>
  </si>
  <si>
    <t>Covers all forms at once. Honeypot or alternative spam tools may be quicker or slower.</t>
  </si>
  <si>
    <t>Homepage – Advanced Dynamic</t>
  </si>
  <si>
    <t>Custom-Coded Blocks</t>
  </si>
  <si>
    <t>Custom reusable blocks</t>
  </si>
  <si>
    <t>Hours depend heavily on how many blocks. Define the block count in the quote.</t>
  </si>
  <si>
    <t>Search Bar with Filters</t>
  </si>
  <si>
    <t>Advanced search and filter functionality</t>
  </si>
  <si>
    <t>AJAX filtering, large datasets, and combined filters all add significant time.</t>
  </si>
  <si>
    <t>API-Driven Content</t>
  </si>
  <si>
    <t>Dynamic content via API</t>
  </si>
  <si>
    <t>Poorly documented or unstable third-party APIs are the biggest overrun risk here.</t>
  </si>
  <si>
    <t>Interactive Dashboard</t>
  </si>
  <si>
    <t>Custom dashboard with charts</t>
  </si>
  <si>
    <t>Chart count, data sources, and export features drive the real number. Scope tightly.</t>
  </si>
  <si>
    <t>Homepage – Creative</t>
  </si>
  <si>
    <t>Full-Screen Visuals</t>
  </si>
  <si>
    <t>Image-heavy hero visuals</t>
  </si>
  <si>
    <t>Image sourcing, licensing, and retouching may be billed separately.</t>
  </si>
  <si>
    <t>Parallax Effects</t>
  </si>
  <si>
    <t>Scrolling parallax animations</t>
  </si>
  <si>
    <t>Mobile performance testing usually takes as long as the build.</t>
  </si>
  <si>
    <t>Hover Animations</t>
  </si>
  <si>
    <t>Interactive hover effects</t>
  </si>
  <si>
    <t>Needs a touch-device fallback, which is easy to forget in the estimate.</t>
  </si>
  <si>
    <t>Creative Grid Layouts</t>
  </si>
  <si>
    <t>Custom creative grids</t>
  </si>
  <si>
    <t>Responsive behavior on non-standard grids is where the hours go.</t>
  </si>
  <si>
    <t>Portfolio Gallery Preview</t>
  </si>
  <si>
    <t>Portfolio showcase gallery</t>
  </si>
  <si>
    <t>Filtering by category adds hours.</t>
  </si>
  <si>
    <t>Lead Capture Form</t>
  </si>
  <si>
    <t>Form placement within page for lead capture using standard form setup (no CRM unless specified)</t>
  </si>
  <si>
    <t>CRM connection is billed separately (see CRM Integration tasks).</t>
  </si>
  <si>
    <t>Homepage – E-Commerce</t>
  </si>
  <si>
    <t>Live Chat Widget</t>
  </si>
  <si>
    <t>Integration of live chat support</t>
  </si>
  <si>
    <t>Overlaps with task 46. Make sure you are not billing both for the same work.</t>
  </si>
  <si>
    <t>Multi-Step Wizard Form</t>
  </si>
  <si>
    <t>Interactive multi-step form wizard. Custom or plugin-based depending on scope.</t>
  </si>
  <si>
    <t>Custom build and plugin build are very different numbers. Consider splitting into two line items.</t>
  </si>
  <si>
    <t>Forms – Standard</t>
  </si>
  <si>
    <t>Standard form setup including layout, validation, and email notifications for submissions</t>
  </si>
  <si>
    <t>Setup of 1 standard form with layout, validation, and email notifications.</t>
  </si>
  <si>
    <t>Priced per form. Confirm the form count before quoting.</t>
  </si>
  <si>
    <t>Forms – Multi-Step</t>
  </si>
  <si>
    <t>Multi-Step Layout</t>
  </si>
  <si>
    <t>Multi-step form with branching logic</t>
  </si>
  <si>
    <t>Step count drives hours. Note the assumed number of steps.</t>
  </si>
  <si>
    <t>Branch Logic Implementation</t>
  </si>
  <si>
    <t>Conditional branching between steps</t>
  </si>
  <si>
    <t>Testing every branch path often exceeds the build time. Consider adding QA hours.</t>
  </si>
  <si>
    <t>Submission Handling</t>
  </si>
  <si>
    <t>Store and process multi-step submissions</t>
  </si>
  <si>
    <t>Partial-save and resume functionality would add substantially.</t>
  </si>
  <si>
    <t>37-40: Form Setup</t>
  </si>
  <si>
    <t>Forms – CRM Integration</t>
  </si>
  <si>
    <t>CRM API Setup</t>
  </si>
  <si>
    <t>Connect form submissions to CRM</t>
  </si>
  <si>
    <t>Assumes client provides CRM access and credentials. Delays here are common.</t>
  </si>
  <si>
    <t>Data Mapping</t>
  </si>
  <si>
    <t>Map form fields to CRM fields</t>
  </si>
  <si>
    <t>Hours rise with field count and custom CRM objects.</t>
  </si>
  <si>
    <t>Error Handling &amp; Logging</t>
  </si>
  <si>
    <t>Handle API errors and log submissions</t>
  </si>
  <si>
    <t>Retry logic and admin alerts would add hours.</t>
  </si>
  <si>
    <t>Integrations</t>
  </si>
  <si>
    <t>Appointment System</t>
  </si>
  <si>
    <t>Booking and scheduling system. Plugin-based booking system (no custom development)</t>
  </si>
  <si>
    <t>Excludes staff schedules, services, and availability data entry. That is Coordinator time.</t>
  </si>
  <si>
    <t>Live Chat Integration</t>
  </si>
  <si>
    <t>Embed live chat widget</t>
  </si>
  <si>
    <t>Duplicate of task 36. Pick one and remove the other.</t>
  </si>
  <si>
    <t>API Integration Basic</t>
  </si>
  <si>
    <t>Simple API Integration</t>
  </si>
  <si>
    <t>Define 'basic' in writing: read-only, one endpoint, documented API.</t>
  </si>
  <si>
    <t>API Integration Complex</t>
  </si>
  <si>
    <t>Complex API Integration</t>
  </si>
  <si>
    <t>High overrun risk. Consider quoting a discovery block first, then the build.</t>
  </si>
  <si>
    <t>Zapier Workflows</t>
  </si>
  <si>
    <t>Automate workflows with Zapier</t>
  </si>
  <si>
    <t>Priced per set of workflows. Note how many Zaps are included. Excludes Zapier subscription.</t>
  </si>
  <si>
    <t>Accessibility (ADA) Basic</t>
  </si>
  <si>
    <t>Essential fixes for usability (alt text, contrast, basic keyboard support)</t>
  </si>
  <si>
    <t>Scales with page count. Alt text writing may be Creative or Coordinator time.</t>
  </si>
  <si>
    <t>Accessibility (ADA) Strict Compliance</t>
  </si>
  <si>
    <t>Full WCAG compliance with complete support and thorough testing</t>
  </si>
  <si>
    <t>Excludes third-party audit or certification. Never guarantee legal compliance in the quote.</t>
  </si>
  <si>
    <t>Member Login</t>
  </si>
  <si>
    <t>Basic Login System</t>
  </si>
  <si>
    <t>User login and registration</t>
  </si>
  <si>
    <t>Email verification, password reset, and security hardening should be confirmed as in or out.</t>
  </si>
  <si>
    <t>Profile Management</t>
  </si>
  <si>
    <t>Basic profile editing and updates</t>
  </si>
  <si>
    <t>Custom profile fields and avatar uploads add hours.</t>
  </si>
  <si>
    <t>Role-Based Content</t>
  </si>
  <si>
    <t>Restrict content based on user roles</t>
  </si>
  <si>
    <t>Hours scale with the number of roles and restriction rules.</t>
  </si>
  <si>
    <t>Document Portal Setup</t>
  </si>
  <si>
    <t>Portal for uploading and accessing documents. Plugin-based solution (no custom-built portal)</t>
  </si>
  <si>
    <t>Excludes uploading the client's actual documents. That is Coordinator time.</t>
  </si>
  <si>
    <t>Product Template</t>
  </si>
  <si>
    <t>Product page template</t>
  </si>
  <si>
    <t>One template. Variable and simple products may need different treatments.</t>
  </si>
  <si>
    <t>Featured Products</t>
  </si>
  <si>
    <t>Homepage products</t>
  </si>
  <si>
    <t>Sales Banners</t>
  </si>
  <si>
    <t>Promo banners</t>
  </si>
  <si>
    <t>Banner artwork per campaign is recurring work worth a maintenance line item.</t>
  </si>
  <si>
    <t>Dynamic Product Feeds</t>
  </si>
  <si>
    <t>Product listings</t>
  </si>
  <si>
    <t>Feeds to Google Merchant Center or Meta have their own spec requirements.</t>
  </si>
  <si>
    <t>Category Highlights</t>
  </si>
  <si>
    <t>Product categories</t>
  </si>
  <si>
    <t>Customer Reviews</t>
  </si>
  <si>
    <t>Reviews</t>
  </si>
  <si>
    <t>Plugin-based. Importing existing reviews would be extra.</t>
  </si>
  <si>
    <t>Personalization Blocks</t>
  </si>
  <si>
    <t>Recommendations</t>
  </si>
  <si>
    <t>Rule-based vs. algorithmic recommendations are very different scopes.</t>
  </si>
  <si>
    <t>Cart Functionality</t>
  </si>
  <si>
    <t>Add to cart</t>
  </si>
  <si>
    <t>AJAX cart and mini-cart customization add hours.</t>
  </si>
  <si>
    <t>Checkout Flow</t>
  </si>
  <si>
    <t>Checkout page</t>
  </si>
  <si>
    <t>One-page checkout, custom fields, and guest checkout rules all add time.</t>
  </si>
  <si>
    <t>Shipping Rules</t>
  </si>
  <si>
    <t>Shipping setup</t>
  </si>
  <si>
    <t>Live carrier rates (UPS/FedEx/USPS) are more work than flat-rate zones.</t>
  </si>
  <si>
    <t>Payment Gateway Integration</t>
  </si>
  <si>
    <t>Stripe/PayPal</t>
  </si>
  <si>
    <t>Excludes merchant account approval. Client delays here are common.</t>
  </si>
  <si>
    <t>Tax Calculator</t>
  </si>
  <si>
    <t>Tax logic</t>
  </si>
  <si>
    <t>Multi-state or international tax (Avalara/TaxJar) is a bigger scope.</t>
  </si>
  <si>
    <t>Product Variations Bsic Set-up</t>
  </si>
  <si>
    <t>Configure product variations (size, color, attributes) using WooCommerce native options</t>
  </si>
  <si>
    <t>Typo in name: 'Bsic' should be 'Basic'. This is setup only, not per-product entry.</t>
  </si>
  <si>
    <t>Per product w/ variations</t>
  </si>
  <si>
    <t>Per product w/ variations, need to multiply how many products with variations</t>
  </si>
  <si>
    <t>Multiply by product count. Get the exact count from the client before quoting.</t>
  </si>
  <si>
    <t>Advanced Product Options (Plugin)</t>
  </si>
  <si>
    <t>Add custom product fields/options using plugin (no custom build)</t>
  </si>
  <si>
    <t>Excludes the plugin license cost.</t>
  </si>
  <si>
    <t>Product Add-Ons (Conditional Logic)</t>
  </si>
  <si>
    <t>Product add-ons with conditional logic using plugin (e.g., extras, upgrades)</t>
  </si>
  <si>
    <t>Rule count drives hours. Pricing logic errors are expensive, so add QA time.</t>
  </si>
  <si>
    <t>Subscriptions Setup</t>
  </si>
  <si>
    <t>Setup recurring payments using WooCommerce Subscriptions plugin</t>
  </si>
  <si>
    <t>Excludes plugin license. Failed-payment and renewal testing takes real time.</t>
  </si>
  <si>
    <t>Discount Rules / Coupons Setup</t>
  </si>
  <si>
    <t>Configure coupons, discounts, and basic promotional rules using WooCommerce</t>
  </si>
  <si>
    <t>Covers setup of the system, not ongoing campaign creation.</t>
  </si>
  <si>
    <t>Advanced Pricing Rules (Plugin)</t>
  </si>
  <si>
    <t>Role-based pricing, bulk discounts, or dynamic pricing via plugin</t>
  </si>
  <si>
    <t>Excludes plugin license. Interaction with coupons needs testing.</t>
  </si>
  <si>
    <t>Product Bundles / Packages</t>
  </si>
  <si>
    <t>Create bundled or grouped products using plugin</t>
  </si>
  <si>
    <t>Excludes plugin license and per-bundle data entry.</t>
  </si>
  <si>
    <t>Wishlist Functionality</t>
  </si>
  <si>
    <t>Add wishlist feature via plugin</t>
  </si>
  <si>
    <t>Product Filtering (Advanced)</t>
  </si>
  <si>
    <t>Advanced filters (price, attributes, categories) using plugin</t>
  </si>
  <si>
    <t>Large catalogs may need performance work on top of this.</t>
  </si>
  <si>
    <t>Configurator – Basic 2D</t>
  </si>
  <si>
    <t>Color Change Feature</t>
  </si>
  <si>
    <t>Allow users to change product colors</t>
  </si>
  <si>
    <t>Asset preparation per color is separate. Confirm who supplies the assets.</t>
  </si>
  <si>
    <t>Shape Options</t>
  </si>
  <si>
    <t>Simple shape selection and preview</t>
  </si>
  <si>
    <t>Hours scale with the number of shapes.</t>
  </si>
  <si>
    <t>Static Preview Rendering</t>
  </si>
  <si>
    <t>Generate static preview images</t>
  </si>
  <si>
    <t>Server-side rendering has hosting and performance implications worth pricing in.</t>
  </si>
  <si>
    <t>Configurator – Advanced 2D</t>
  </si>
  <si>
    <t>Pattern Library</t>
  </si>
  <si>
    <t>Apply patterns to product surfaces</t>
  </si>
  <si>
    <t>Pattern asset creation is Creative time and should be quoted separately.</t>
  </si>
  <si>
    <t>Upload &amp; Download Assets</t>
  </si>
  <si>
    <t>Allow users to upload images and download previews</t>
  </si>
  <si>
    <t>File validation, size limits, and storage costs all need to be defined.</t>
  </si>
  <si>
    <t>Screenshot Capture</t>
  </si>
  <si>
    <t>Enable screenshot capture of designs</t>
  </si>
  <si>
    <t>Cross-browser behavior varies a lot here. Budget extra QA.</t>
  </si>
  <si>
    <t>Configurator – 3D WebGL</t>
  </si>
  <si>
    <t>Camera Controls</t>
  </si>
  <si>
    <t>Interactive camera movement and zoom</t>
  </si>
  <si>
    <t>Mobile performance is the main risk on all WebGL work.</t>
  </si>
  <si>
    <t>3D Asset Integration</t>
  </si>
  <si>
    <t>Import and render 3D models</t>
  </si>
  <si>
    <t>Excludes 3D modeling itself. Confirm the client supplies optimized models.</t>
  </si>
  <si>
    <t>Real-Time Rendering</t>
  </si>
  <si>
    <t>Real-time rendering of product visuals</t>
  </si>
  <si>
    <t>Highest technical risk item in the list. Consider a paid discovery phase first.</t>
  </si>
  <si>
    <t>Configurator – Full Builder</t>
  </si>
  <si>
    <t>Court/Template Setup</t>
  </si>
  <si>
    <t>Custom templates for courts or products</t>
  </si>
  <si>
    <t>80-hour items should be split into phases with milestone billing.</t>
  </si>
  <si>
    <t>Measurement Tools</t>
  </si>
  <si>
    <t>Tools for measuring dimensions</t>
  </si>
  <si>
    <t>Unit conversion and accuracy requirements need to be written down.</t>
  </si>
  <si>
    <t>Quote Generation</t>
  </si>
  <si>
    <t>Auto-generate quotes based on design</t>
  </si>
  <si>
    <t>Pricing rules come from the client and are often not ready. That delay is on them.</t>
  </si>
  <si>
    <t>User Accounts &amp; Saved Designs</t>
  </si>
  <si>
    <t>Allow users to save and manage designs</t>
  </si>
  <si>
    <t>Overlaps with Member Login tasks 52-53. Avoid double-billing.</t>
  </si>
  <si>
    <t>Configurator – Features</t>
  </si>
  <si>
    <t>Logo Upload &amp; Placement</t>
  </si>
  <si>
    <t>Upload logos and place them on designs</t>
  </si>
  <si>
    <t>File type handling (SVG, PNG, transparency) is where the time goes.</t>
  </si>
  <si>
    <t>Size Calculator</t>
  </si>
  <si>
    <t>Calculate product sizes dynamically</t>
  </si>
  <si>
    <t>Formula complexity comes from the client. Get it in writing first.</t>
  </si>
  <si>
    <t>Shareable Link</t>
  </si>
  <si>
    <t>Generate shareable links for designs</t>
  </si>
  <si>
    <t>Admin Dashboard</t>
  </si>
  <si>
    <t>Admin dashboard for managing designs and users</t>
  </si>
  <si>
    <t>Reporting and export features can easily double this. Scope tightly.</t>
  </si>
  <si>
    <t>SSL Configuration</t>
  </si>
  <si>
    <t>Setup SSL certificate</t>
  </si>
  <si>
    <t>Assumes host provides free SSL. Custom or wildcard certs take longer.</t>
  </si>
  <si>
    <t>Caching &amp; Speed Optimization</t>
  </si>
  <si>
    <t>Basic performance optimization using caching, image compression, and plugin configuration (no advanced code-level optimization)</t>
  </si>
  <si>
    <t>Excludes code-level fixes. Overlaps with task 111. Check you are not billing twice.</t>
  </si>
  <si>
    <t>Backup &amp; Versioning</t>
  </si>
  <si>
    <t>Setup backups and version control</t>
  </si>
  <si>
    <t>This is setup only. Ongoing backup monitoring belongs in Maintenance &amp; Support.</t>
  </si>
  <si>
    <t>Analytics &amp; Tracking</t>
  </si>
  <si>
    <t>GA4 Setup</t>
  </si>
  <si>
    <t>Configure Google Analytics 4 tracking</t>
  </si>
  <si>
    <t>Assumes client already has a Google account. Access delays are common.</t>
  </si>
  <si>
    <t>GTM Setup</t>
  </si>
  <si>
    <t>Install and configure Google Tag Manager</t>
  </si>
  <si>
    <t>Tag count drives hours. Note how many tags are included.</t>
  </si>
  <si>
    <t>Heatmaps</t>
  </si>
  <si>
    <t>Integrate heatmap tool for user behavior analysis</t>
  </si>
  <si>
    <t>Excludes the heatmap tool subscription and any reporting/analysis.</t>
  </si>
  <si>
    <t>Blog Setup</t>
  </si>
  <si>
    <t>Blog Listing Page</t>
  </si>
  <si>
    <t>Main blog page with article previews</t>
  </si>
  <si>
    <t>Category filtering and pagination styling may add time.</t>
  </si>
  <si>
    <t>Single Article Template</t>
  </si>
  <si>
    <t>Template for individual blog posts</t>
  </si>
  <si>
    <t>Related posts, author boxes, and share buttons add time.</t>
  </si>
  <si>
    <t>Lead Capture Integration</t>
  </si>
  <si>
    <t>Form for newsletter or lead capture</t>
  </si>
  <si>
    <t>Email platform connection (Mailchimp etc.) may need integration hours.</t>
  </si>
  <si>
    <t>SEO Tools Setup</t>
  </si>
  <si>
    <t>Install and configure SEO plugins/tools</t>
  </si>
  <si>
    <t>Excludes keyword research and strategy, which are separate services.</t>
  </si>
  <si>
    <t>Schema Markup</t>
  </si>
  <si>
    <t>Add structured data/schema for SEO</t>
  </si>
  <si>
    <t>Per schema type. Product, LocalBusiness, and FAQ schema each take their own time.</t>
  </si>
  <si>
    <t>Sitemap Generation</t>
  </si>
  <si>
    <t>Generate XML sitemap</t>
  </si>
  <si>
    <t>Robots.txt Setup</t>
  </si>
  <si>
    <t>Configure robots.txt for crawling rules</t>
  </si>
  <si>
    <t>Copywriting – Improve Existing Content</t>
  </si>
  <si>
    <t>Edit and optimize current content</t>
  </si>
  <si>
    <t>Per page. Define how many revision rounds are included.</t>
  </si>
  <si>
    <t>Copywriting – New Content (per 800 words)</t>
  </si>
  <si>
    <t>Write new copy for a page (800 words)</t>
  </si>
  <si>
    <t>Per 800 words. Technical or highly specialized topics should bill higher.</t>
  </si>
  <si>
    <t>Setup of URL redirects (301)</t>
  </si>
  <si>
    <t>Setup of URL redirects (301) to maintain SEO and handle URL changes</t>
  </si>
  <si>
    <t>Assumes a modest redirect count. Large migrations need a mapping exercise first.</t>
  </si>
  <si>
    <t>Performance Core Web Vitals Optimization</t>
  </si>
  <si>
    <t>Optimize site for LCP, CLS, and INP by improving loading speed, reducing layout shifts, optimizing assets, and ensuring smooth interactivity.</t>
  </si>
  <si>
    <t>Overlaps with task 96. Results depend on hosting quality, so avoid guaranteeing a score.</t>
  </si>
  <si>
    <t>Moderate Conversion tracking</t>
  </si>
  <si>
    <t>Moderate (multiple events + testing + GA4 setup) Limit up to 8 events to configure and test.</t>
  </si>
  <si>
    <t>Capped at 8 events. Price extra events individually.</t>
  </si>
  <si>
    <t>Basic conversion</t>
  </si>
  <si>
    <t>Basic conversion tracking for forms (submission events only, no advanced tracking)</t>
  </si>
  <si>
    <t>Overlaps with task 112. These should be either/or, not both.</t>
  </si>
  <si>
    <t>Hosting Setup &amp; Configuration</t>
  </si>
  <si>
    <t>Provision and configure a WordPress-ready hosting environment, including server setup, PHP and MySQL configuration, and domain connection. Configure performance settings (caching, memory limits), implement security best practices (firewall, SSL readiness, access controls), and ensure the environment is optimized for reliability, speed, and scalability.</t>
  </si>
  <si>
    <t>Excludes the hosting cost itself. Managed hosting is faster than a raw VPS.</t>
  </si>
  <si>
    <t>WordPress Installation &amp; Base Config</t>
  </si>
  <si>
    <t>Install WordPress, configure core settings (permalinks, timezone, security basics), and prepare a clean foundation.</t>
  </si>
  <si>
    <t>108: WordPress Installation</t>
  </si>
  <si>
    <t>Theme Setup (base theme / builder setup)</t>
  </si>
  <si>
    <t>Install and configure theme or page builder, including global styles, layout settings, and reusable components.</t>
  </si>
  <si>
    <t>Dependency says '108' but WordPress Installation is task 115. Fix the reference.</t>
  </si>
  <si>
    <t>Plugin Installation &amp; Baseline Config</t>
  </si>
  <si>
    <t>Install and configure core plugins (SEO, cache, security, forms). Includes existing plugins only; new plugin setup not included</t>
  </si>
  <si>
    <t>Module field is blank in your original. Dependency should point to 115, not 108.</t>
  </si>
  <si>
    <t>User Roles &amp; Permissions Setup</t>
  </si>
  <si>
    <t>Define user roles (admin, editor, etc.), configure permissions, and enforce proper access control.</t>
  </si>
  <si>
    <t>Custom roles beyond the WordPress defaults add hours.</t>
  </si>
  <si>
    <t>Local / Dev Environment Setup</t>
  </si>
  <si>
    <t>Set up local development environment for safe development, including database, files, and tooling.</t>
  </si>
  <si>
    <t>Internal setup cost. Decide whether you bill the client for this or absorb it.</t>
  </si>
  <si>
    <t>Environment Sync (Dev ↔ Staging)</t>
  </si>
  <si>
    <t>Sync database between environments with URL replacement to maintain consistency across environments.</t>
  </si>
  <si>
    <t>This is usually done more than once. Consider pricing per sync or capping the number.</t>
  </si>
  <si>
    <t>Staging Environment Setup</t>
  </si>
  <si>
    <t>Create a staging site for QA/testing with production-like configuration and restricted access.</t>
  </si>
  <si>
    <t>Domain Set-up</t>
  </si>
  <si>
    <t>Point domain to hosting, configure DNS records, and ensure proper domain resolution.</t>
  </si>
  <si>
    <t>DNS propagation waiting time is not billable work but does affect the schedule.</t>
  </si>
  <si>
    <t>Data migration / content import</t>
  </si>
  <si>
    <t>Migrate existing content, database, and media into the new environment, ensuring structure and integrity are preserved.</t>
  </si>
  <si>
    <t>Biggest variable in the whole list. Hours depend entirely on the size and mess of the old site. Consider quoting a range or auditing first.</t>
  </si>
  <si>
    <t>Pre-Launch QA</t>
  </si>
  <si>
    <t>Final QA before go-live</t>
  </si>
  <si>
    <t>Test functionality, responsiveness, forms, links, and cross-browser compatibility before launch.</t>
  </si>
  <si>
    <t>Scales with page count and feature count. 4 hours is thin for a large site.</t>
  </si>
  <si>
    <t>Backup Before Deploy</t>
  </si>
  <si>
    <t>Full backup before deployment</t>
  </si>
  <si>
    <t>Create full backup of database and files before deployment for rollback safety</t>
  </si>
  <si>
    <t>122: Backup + 121: Final QA</t>
  </si>
  <si>
    <t>Production Deployment</t>
  </si>
  <si>
    <t>Deploy site to production</t>
  </si>
  <si>
    <t>Deploy site from staging to production including database migration, file transfer, and validation</t>
  </si>
  <si>
    <t>Dependency numbers look off: backup is 125 and final QA is 124. Fix the references.</t>
  </si>
  <si>
    <t>URL/DB Sync</t>
  </si>
  <si>
    <t>Update URLs and sync database</t>
  </si>
  <si>
    <t>Replace staging URLs with production URLs and ensure database consistency.</t>
  </si>
  <si>
    <t>Module field holds a module name but the category is Deployment. Consider merging into task 126.</t>
  </si>
  <si>
    <t>Cache/CDN Setup</t>
  </si>
  <si>
    <t>Configure caching and CDN</t>
  </si>
  <si>
    <t>Set up caching layers and CDN for faster global delivery and improved performance. Basic CDN setup (e.g., Cloudflare, no advanced edge rules)</t>
  </si>
  <si>
    <t>Excludes CDN subscription costs.</t>
  </si>
  <si>
    <t>123: Production Deployment</t>
  </si>
  <si>
    <t>SSL &amp; Mixed Content Fix</t>
  </si>
  <si>
    <t>Fix SSL and mixed content issues</t>
  </si>
  <si>
    <t>Ensure HTTPS is enforced and resolve any insecure resource loading issues.</t>
  </si>
  <si>
    <t>Dependency should point to 126, not 123.</t>
  </si>
  <si>
    <t>CMS Structure Setup</t>
  </si>
  <si>
    <t>Setup CPTs, fields, content structure</t>
  </si>
  <si>
    <t>Create custom post types, taxonomies, and fields to support structured, scalable content.</t>
  </si>
  <si>
    <t>Hours scale with the number of post types and fields. Note the assumed count.</t>
  </si>
  <si>
    <t>117: CMS Structure Setup</t>
  </si>
  <si>
    <t>Dynamic Templates</t>
  </si>
  <si>
    <t>Build dynamic templates (ACF/builder)</t>
  </si>
  <si>
    <t>Develop reusable templates that dynamically pull content from fields for consistency and efficiency.</t>
  </si>
  <si>
    <t>Dependency should point to 130, not 117. Hours scale with template count.</t>
  </si>
  <si>
    <t>118: Dynamic Templates</t>
  </si>
  <si>
    <t>Content Entry</t>
  </si>
  <si>
    <t>Add content to pages</t>
  </si>
  <si>
    <t>Populate pages with provided content, ensuring formatting, layout, and consistency with design.</t>
  </si>
  <si>
    <t>This is per page and is often badly underestimated. Also assumes client content arrives on time and in final form.</t>
  </si>
  <si>
    <t>119: Content Entry</t>
  </si>
  <si>
    <t>Media Optimization</t>
  </si>
  <si>
    <t>Optimize images and media</t>
  </si>
  <si>
    <t>Compress, resize, and serve media in modern formats (e.g., WebP), implement lazy loading.</t>
  </si>
  <si>
    <t>Scales with image count. A large gallery or catalog needs more.</t>
  </si>
  <si>
    <t>123-126: All deployment tasks</t>
  </si>
  <si>
    <t>Post-Launch QA</t>
  </si>
  <si>
    <t>QA and bug fixes after launch</t>
  </si>
  <si>
    <t>Post-launch validation and quick resolution of any issues found in production.</t>
  </si>
  <si>
    <t>Define a support window (e.g. 14 days). Without it this becomes unlimited free work.</t>
  </si>
  <si>
    <t>Performance Check</t>
  </si>
  <si>
    <t>Verify speed and performance</t>
  </si>
  <si>
    <t>Run performance tests and confirm site meets expected speed benchmarks.</t>
  </si>
  <si>
    <t>This is testing only. Any fixes found are billed under Performance &amp; Security.</t>
  </si>
  <si>
    <t>Tracking Verification</t>
  </si>
  <si>
    <t>Test GA4 and tracking setup</t>
  </si>
  <si>
    <t>Validate analytics tracking, events, and conversions to ensure accurate data collection.</t>
  </si>
  <si>
    <t>TOTAL</t>
  </si>
  <si>
    <t>Whole library total, not a project quote. Quote only the tasks a job needs.</t>
  </si>
  <si>
    <t>Task Pricing – Squarespace</t>
  </si>
  <si>
    <t>Base Hours unchanged. category_id has been remapped to the new Categories list.</t>
  </si>
  <si>
    <t>Grid layout using Squarespace sections or summary blocks</t>
  </si>
  <si>
    <t>Assumes a fixed number of items. Dynamic, data-driven grids cost more.</t>
  </si>
  <si>
    <t>Testimonials (Embed)</t>
  </si>
  <si>
    <t>Testimonials via embed block or native content</t>
  </si>
  <si>
    <t>Team member section using image + text blocks</t>
  </si>
  <si>
    <t>Bios and photo cropping are content work, not build work.</t>
  </si>
  <si>
    <t>Footer navigation, contact, social links</t>
  </si>
  <si>
    <t>Hero with CTA using Squarespace buttons</t>
  </si>
  <si>
    <t>Feature sections using layout blocks</t>
  </si>
  <si>
    <t>Logos or badges using image blocks</t>
  </si>
  <si>
    <t>Collapsible FAQ blocks</t>
  </si>
  <si>
    <t>Add a little time if FAQ schema markup is also required.</t>
  </si>
  <si>
    <t>Pricing using columns/layout blocks</t>
  </si>
  <si>
    <t>No native pricing table. Built manually, so more than 3 plans adds time.</t>
  </si>
  <si>
    <t>Gallery block (grid/slider/lightbox)</t>
  </si>
  <si>
    <t>Per gallery. Image prep is billed separately.</t>
  </si>
  <si>
    <t>Video Embeds</t>
  </si>
  <si>
    <t>Video block (YouTube/Vimeo)</t>
  </si>
  <si>
    <t>Donations / Payments</t>
  </si>
  <si>
    <t>Squarespace Payments or Stripe integration</t>
  </si>
  <si>
    <t>Content sections for use cases</t>
  </si>
  <si>
    <t>Forms Spam Protection</t>
  </si>
  <si>
    <t>Basic spam protection (Squarespace built-in)</t>
  </si>
  <si>
    <t>Built-in only. You have far less control than on WordPress.</t>
  </si>
  <si>
    <t>Full-width image sections</t>
  </si>
  <si>
    <t>Built-in scroll effects (limited vs WP)</t>
  </si>
  <si>
    <t>Native effects only. Custom parallax needs code injection and a Business plan.</t>
  </si>
  <si>
    <t>Basic hover effects (native styles)</t>
  </si>
  <si>
    <t>Creative Layouts</t>
  </si>
  <si>
    <t>Custom section layouts using fluid engine</t>
  </si>
  <si>
    <t>Fluid Engine desktop and mobile layouts are built separately.</t>
  </si>
  <si>
    <t>Portfolio Preview</t>
  </si>
  <si>
    <t>Portfolio/gallery collection preview</t>
  </si>
  <si>
    <t>Squarespace form block</t>
  </si>
  <si>
    <t>CRM connection is billed separately.</t>
  </si>
  <si>
    <t>Embed third-party chat (Intercom, etc.)</t>
  </si>
  <si>
    <t>Requires a Business plan for code injection.</t>
  </si>
  <si>
    <t>Appointment Scheduling</t>
  </si>
  <si>
    <t>Squarespace Scheduling or embed tool</t>
  </si>
  <si>
    <t>Excludes the Acuity subscription and entering services or availability.</t>
  </si>
  <si>
    <t>Zapier connection via form/email triggers</t>
  </si>
  <si>
    <t>Note how many Zaps are included. Excludes the Zapier subscription.</t>
  </si>
  <si>
    <t>Basic API / Embed Integration</t>
  </si>
  <si>
    <t>Embed external tools via code block</t>
  </si>
  <si>
    <t>Basic pages using sections</t>
  </si>
  <si>
    <t>Per page. Multiply by page count and confirm the total in the quote.</t>
  </si>
  <si>
    <t>Conversion Landing Page</t>
  </si>
  <si>
    <t>Structured conversion layout</t>
  </si>
  <si>
    <t>Per page. Second and later pages using the same layout should be cheaper.</t>
  </si>
  <si>
    <t>Contact Page</t>
  </si>
  <si>
    <t>Form + contact info layout</t>
  </si>
  <si>
    <t>Includes one form. Map embed and multi-location info may add time.</t>
  </si>
  <si>
    <t>Core Page - Detail Page</t>
  </si>
  <si>
    <t>Blog/Service Detail</t>
  </si>
  <si>
    <t>Blog or collection item template</t>
  </si>
  <si>
    <t>Standard Form Setup</t>
  </si>
  <si>
    <t>Form with fields + email notifications</t>
  </si>
  <si>
    <t>Forms – Advanced</t>
  </si>
  <si>
    <t>Storage &amp; Notifications</t>
  </si>
  <si>
    <t>Form submissions stored + email</t>
  </si>
  <si>
    <t>Members Area</t>
  </si>
  <si>
    <t>Members Area Setup</t>
  </si>
  <si>
    <t>Squarespace Member Areas setup</t>
  </si>
  <si>
    <t>Requires the paid Member Areas add-on.</t>
  </si>
  <si>
    <t>Basic Access Control</t>
  </si>
  <si>
    <t>Restrict pages/content</t>
  </si>
  <si>
    <t>Far less flexible than WordPress roles. Set expectations.</t>
  </si>
  <si>
    <t>Product Listings</t>
  </si>
  <si>
    <t>Product collection setup</t>
  </si>
  <si>
    <t>Setup only. Per-product data entry is separate and often underestimated.</t>
  </si>
  <si>
    <t>Product Detail Page</t>
  </si>
  <si>
    <t>Product page layout</t>
  </si>
  <si>
    <t>Built-in cart</t>
  </si>
  <si>
    <t>Mini-cart and AJAX cart customization add hours.</t>
  </si>
  <si>
    <t>Native checkout</t>
  </si>
  <si>
    <t>Native checkout is largely locked. Limited custom fields.</t>
  </si>
  <si>
    <t>Payments Setup</t>
  </si>
  <si>
    <t>Stripe/PayPal via Squarespace</t>
  </si>
  <si>
    <t>Excludes merchant account approval. Client delays are common.</t>
  </si>
  <si>
    <t>Shipping Setup</t>
  </si>
  <si>
    <t>Shipping rules config</t>
  </si>
  <si>
    <t>Live carrier rates are more work than flat-rate zones.</t>
  </si>
  <si>
    <t>Tax Setup</t>
  </si>
  <si>
    <t>Tax configuration</t>
  </si>
  <si>
    <t>Multi-state or international tax is a bigger scope.</t>
  </si>
  <si>
    <t>Featured Products Section</t>
  </si>
  <si>
    <t>Product blocks on homepage</t>
  </si>
  <si>
    <t>Promotional Banners</t>
  </si>
  <si>
    <t>Sales banners using sections</t>
  </si>
  <si>
    <t>Recurring campaign artwork is worth a separate maintenance line item.</t>
  </si>
  <si>
    <t>Category Navigation</t>
  </si>
  <si>
    <t>Product category organization</t>
  </si>
  <si>
    <t>Customer Reviews (Basic)</t>
  </si>
  <si>
    <t>Manual or embed-based reviews</t>
  </si>
  <si>
    <t>Importing existing reviews would be extra.</t>
  </si>
  <si>
    <t>Google Analytics integration</t>
  </si>
  <si>
    <t>Tag Manager install</t>
  </si>
  <si>
    <t>Basic Conversion Tracking</t>
  </si>
  <si>
    <t>Form + button tracking</t>
  </si>
  <si>
    <t>Event tracking is harder here than on WordPress. This may be thin.</t>
  </si>
  <si>
    <t>Hotjar or similar via embed</t>
  </si>
  <si>
    <t>Excludes the heatmap tool subscription and any reporting or analysis.</t>
  </si>
  <si>
    <t>Blog Page Setup</t>
  </si>
  <si>
    <t>Blog index page</t>
  </si>
  <si>
    <t>Blog Post Template</t>
  </si>
  <si>
    <t>Default post layout</t>
  </si>
  <si>
    <t>Blog Lead Capture</t>
  </si>
  <si>
    <t>Newsletter form</t>
  </si>
  <si>
    <t>On-Page SEO Setup</t>
  </si>
  <si>
    <t>Titles, meta, descriptions</t>
  </si>
  <si>
    <t>Per page or per batch. Define how many pages are covered.</t>
  </si>
  <si>
    <t>Sitemap (Auto)</t>
  </si>
  <si>
    <t>Auto-generated by Squarespace</t>
  </si>
  <si>
    <t>Zero hours. Keep it as an 'included free' talking point or delete the row.</t>
  </si>
  <si>
    <t>Robots.txt (Basic)</t>
  </si>
  <si>
    <t>Limited configuration</t>
  </si>
  <si>
    <t>Squarespace barely allows edits here. Set client expectations.</t>
  </si>
  <si>
    <t>URL Redirects</t>
  </si>
  <si>
    <t>Built-in redirect manager</t>
  </si>
  <si>
    <t>Large migrations need a URL mapping exercise first.</t>
  </si>
  <si>
    <t>Copywriting – Improve</t>
  </si>
  <si>
    <t>Content optimization</t>
  </si>
  <si>
    <t>Copywriting – New (800 words)</t>
  </si>
  <si>
    <t>New content creation</t>
  </si>
  <si>
    <t>Per 800 words. Technical or specialized topics should bill higher.</t>
  </si>
  <si>
    <t>Performance</t>
  </si>
  <si>
    <t>Basic Optimization</t>
  </si>
  <si>
    <t>Image compression, layout cleanup</t>
  </si>
  <si>
    <t>Limited control over performance. Never guarantee a PageSpeed score.</t>
  </si>
  <si>
    <t>ADA Basic</t>
  </si>
  <si>
    <t>Alt text, contrast, structure</t>
  </si>
  <si>
    <t>Scales with page count. Never guarantee legal compliance.</t>
  </si>
  <si>
    <t>Squarespace Site Setup</t>
  </si>
  <si>
    <t>Create site, basic config</t>
  </si>
  <si>
    <t>Excludes the Squarespace subscription.</t>
  </si>
  <si>
    <t>Template &amp; Styles Setup</t>
  </si>
  <si>
    <t>Fonts, colors, global styles</t>
  </si>
  <si>
    <t>Domain Connection</t>
  </si>
  <si>
    <t>Connect domain</t>
  </si>
  <si>
    <t>DNS propagation affects the schedule but is not billable work.</t>
  </si>
  <si>
    <t>Content Migration (Manual)</t>
  </si>
  <si>
    <t>Copy content into Squarespace</t>
  </si>
  <si>
    <t>Biggest variable in the list. Quote a range or audit the old site first.</t>
  </si>
  <si>
    <t>Responsive + functionality checks</t>
  </si>
  <si>
    <t>Scales with page count and feature count. Thin for a large site.</t>
  </si>
  <si>
    <t>Launch Site</t>
  </si>
  <si>
    <t>Go live + domain switch</t>
  </si>
  <si>
    <t>Schedule a rollback window. Launch-day issues are normal.</t>
  </si>
  <si>
    <t>Fix issues after launch</t>
  </si>
  <si>
    <t>Define a support window, or this becomes unlimited free work.</t>
  </si>
  <si>
    <t>Confirm analytics + events</t>
  </si>
  <si>
    <t>Task Pricing – Shopify</t>
  </si>
  <si>
    <t>Product/collection grid using Shopify sections</t>
  </si>
  <si>
    <t>Testimonials</t>
  </si>
  <si>
    <t>Testimonials via theme section or app</t>
  </si>
  <si>
    <t>Styling a third-party widget or app can take longer than expected.</t>
  </si>
  <si>
    <t>Team section using content blocks</t>
  </si>
  <si>
    <t>Footer with navigation, contact, socials</t>
  </si>
  <si>
    <t>Hero with CTA</t>
  </si>
  <si>
    <t>Features/benefits sections</t>
  </si>
  <si>
    <t>Logos, reviews, trust badges</t>
  </si>
  <si>
    <t>Accordion FAQ</t>
  </si>
  <si>
    <t>Subscription or pricing layouts</t>
  </si>
  <si>
    <t>Featured products section</t>
  </si>
  <si>
    <t>Collections + filters</t>
  </si>
  <si>
    <t>Collection highlights</t>
  </si>
  <si>
    <t>Product reviews via app</t>
  </si>
  <si>
    <t>Excludes the review app subscription.</t>
  </si>
  <si>
    <t>Recommended products (apps)</t>
  </si>
  <si>
    <t>Excludes the recommendation app subscription.</t>
  </si>
  <si>
    <t>Image-heavy layouts</t>
  </si>
  <si>
    <t>Theme-based effects</t>
  </si>
  <si>
    <t>Theme-dependent. A theme without support needs custom code.</t>
  </si>
  <si>
    <t>Theme/custom CSS</t>
  </si>
  <si>
    <t>Custom sections or Liquid edits</t>
  </si>
  <si>
    <t>Liquid edits mean theme-update risk later. Note that in the quote.</t>
  </si>
  <si>
    <t>Form or email signup</t>
  </si>
  <si>
    <t>Basic spam protection</t>
  </si>
  <si>
    <t>Covers all forms at once.</t>
  </si>
  <si>
    <t>Content pages</t>
  </si>
  <si>
    <t>Landing Page</t>
  </si>
  <si>
    <t>Conversion-focused layout</t>
  </si>
  <si>
    <t>Contact form + info</t>
  </si>
  <si>
    <t>Core Page - Blog Detail</t>
  </si>
  <si>
    <t>Shopify blog template</t>
  </si>
  <si>
    <t>Form Setup</t>
  </si>
  <si>
    <t>Basic forms + notifications</t>
  </si>
  <si>
    <t>Multi-Step Form</t>
  </si>
  <si>
    <t>Using apps (limited logic)</t>
  </si>
  <si>
    <t>App-based with limited logic. Complex branching may not be possible.</t>
  </si>
  <si>
    <t>Calendly or booking app</t>
  </si>
  <si>
    <t>Excludes staff schedules, services, and availability data entry.</t>
  </si>
  <si>
    <t>Chat widget/app</t>
  </si>
  <si>
    <t>Excludes the chat tool subscription.</t>
  </si>
  <si>
    <t>App or webhook-based</t>
  </si>
  <si>
    <t>Custom app or middleware</t>
  </si>
  <si>
    <t>May require a custom private app. Shopify review adds calendar time.</t>
  </si>
  <si>
    <t>Automation workflows</t>
  </si>
  <si>
    <t>Accessibility (Basic)</t>
  </si>
  <si>
    <t>Theme adjustments</t>
  </si>
  <si>
    <t>Members / Accounts</t>
  </si>
  <si>
    <t>Customer Accounts</t>
  </si>
  <si>
    <t>Shopify customer accounts</t>
  </si>
  <si>
    <t>Account editing</t>
  </si>
  <si>
    <t>Restricted Content</t>
  </si>
  <si>
    <t>Apps or Liquid logic</t>
  </si>
  <si>
    <t>Needs an app or Liquid workarounds. Shopify is not built for this.</t>
  </si>
  <si>
    <t>E-Commerce Core</t>
  </si>
  <si>
    <t>One template. Simple and variable products may need different treatments.</t>
  </si>
  <si>
    <t>Shopify checkout (limited customization)</t>
  </si>
  <si>
    <t>Checkout is locked unless the client is on Shopify Plus. Set expectations early.</t>
  </si>
  <si>
    <t>Shopify Payments / PayPal</t>
  </si>
  <si>
    <t>Built-in taxes</t>
  </si>
  <si>
    <t>Built-in. Multi-jurisdiction tax may need Avalara or similar.</t>
  </si>
  <si>
    <t>Advanced E-Commerce</t>
  </si>
  <si>
    <t>Product Options / Variants</t>
  </si>
  <si>
    <t>Variants or apps</t>
  </si>
  <si>
    <t>Setup only, not per-product entry. Multiply by product count separately.</t>
  </si>
  <si>
    <t>Product Customizer (Basic)</t>
  </si>
  <si>
    <t>Product customization apps</t>
  </si>
  <si>
    <t>Excludes the app subscription. App limits often force scope changes.</t>
  </si>
  <si>
    <t>Product Customizer (Advanced)</t>
  </si>
  <si>
    <t>Advanced configurator apps</t>
  </si>
  <si>
    <t>Excludes the app subscription. High risk, scope tightly.</t>
  </si>
  <si>
    <t>Subscriptions</t>
  </si>
  <si>
    <t>Subscription apps</t>
  </si>
  <si>
    <t>Excludes the subscription app cost.</t>
  </si>
  <si>
    <t>Discount Logic</t>
  </si>
  <si>
    <t>Discount rules</t>
  </si>
  <si>
    <t>Interaction with other promotions needs testing.</t>
  </si>
  <si>
    <t>Image + theme optimization</t>
  </si>
  <si>
    <t>Never guarantee a PageSpeed score. Results depend on the platform and hosting.</t>
  </si>
  <si>
    <t>Analytics</t>
  </si>
  <si>
    <t>Add GA4</t>
  </si>
  <si>
    <t>Add GTM</t>
  </si>
  <si>
    <t>Events + testing</t>
  </si>
  <si>
    <t>Event count drives hours. Cap the number of events in the quote.</t>
  </si>
  <si>
    <t>Blog</t>
  </si>
  <si>
    <t>Blog listing</t>
  </si>
  <si>
    <t>Single Post Template</t>
  </si>
  <si>
    <t>Default template</t>
  </si>
  <si>
    <t>Email signup</t>
  </si>
  <si>
    <t>SEO</t>
  </si>
  <si>
    <t>Basic SEO Setup</t>
  </si>
  <si>
    <t>Titles + meta</t>
  </si>
  <si>
    <t>Schema (Basic)</t>
  </si>
  <si>
    <t>Theme/app-based schema</t>
  </si>
  <si>
    <t>Per schema type. Platform tools limit how far you can go.</t>
  </si>
  <si>
    <t>Auto-generated</t>
  </si>
  <si>
    <t>Redirects setup</t>
  </si>
  <si>
    <t>Content Optimization</t>
  </si>
  <si>
    <t>On-page SEO</t>
  </si>
  <si>
    <t>Shopify Store Setup</t>
  </si>
  <si>
    <t>Create store</t>
  </si>
  <si>
    <t>Excludes the Shopify subscription and transaction fees.</t>
  </si>
  <si>
    <t>Theme Setup &amp; Customization</t>
  </si>
  <si>
    <t>Theme + sections + styling</t>
  </si>
  <si>
    <t>Premium theme cost is separate. Theme quality varies a lot.</t>
  </si>
  <si>
    <t>Domain Setup</t>
  </si>
  <si>
    <t>Content Upload</t>
  </si>
  <si>
    <t>Add content/products</t>
  </si>
  <si>
    <t>Per page or per batch, and often badly underestimated. Assumes final content from the client.</t>
  </si>
  <si>
    <t>Image optimization</t>
  </si>
  <si>
    <t>QA Review</t>
  </si>
  <si>
    <t>Test store, checkout, responsiveness</t>
  </si>
  <si>
    <t>Go Live</t>
  </si>
  <si>
    <t>Launch store</t>
  </si>
  <si>
    <t>Post-Launch</t>
  </si>
  <si>
    <t>QA Fixes</t>
  </si>
  <si>
    <t>Bug fixes</t>
  </si>
  <si>
    <t>Verify analytics</t>
  </si>
  <si>
    <t>Task Pricing – WIX</t>
  </si>
  <si>
    <t>Grid using Wix repeater/layout tools</t>
  </si>
  <si>
    <t>Testimonials via sections or apps</t>
  </si>
  <si>
    <t>Team section using repeaters</t>
  </si>
  <si>
    <t>Footer with nav, contact, socials</t>
  </si>
  <si>
    <t>Content sections</t>
  </si>
  <si>
    <t>Logos/reviews</t>
  </si>
  <si>
    <t>Collapsible FAQ</t>
  </si>
  <si>
    <t>Pricing layout sections</t>
  </si>
  <si>
    <t>Wix gallery</t>
  </si>
  <si>
    <t>Video blocks</t>
  </si>
  <si>
    <t>Payments / Donations</t>
  </si>
  <si>
    <t>Wix Payments / Stripe / PayPal</t>
  </si>
  <si>
    <t>Map / Location Section</t>
  </si>
  <si>
    <t>Wix map embed</t>
  </si>
  <si>
    <t>Image-heavy sections</t>
  </si>
  <si>
    <t>Built-in scroll effects</t>
  </si>
  <si>
    <t>Built-in scroll effects only. Limited compared to WordPress.</t>
  </si>
  <si>
    <t>Basic interactions</t>
  </si>
  <si>
    <t>Flexible editor layouts</t>
  </si>
  <si>
    <t>Responsive behavior on non-standard layouts is where the hours go.</t>
  </si>
  <si>
    <t>Wix Forms</t>
  </si>
  <si>
    <t>Built-in spam protection</t>
  </si>
  <si>
    <t>Form + contact info</t>
  </si>
  <si>
    <t>Wix blog</t>
  </si>
  <si>
    <t>Wix form setup + notifications</t>
  </si>
  <si>
    <t>Wix forms or apps (limited logic)</t>
  </si>
  <si>
    <t>Wix Bookings or embed</t>
  </si>
  <si>
    <t>Wix Chat or app</t>
  </si>
  <si>
    <t>Velo or webhook</t>
  </si>
  <si>
    <t>Velo or webhook based. Confirm the plan supports it.</t>
  </si>
  <si>
    <t>Velo custom logic</t>
  </si>
  <si>
    <t>Velo-dependent. Debugging tools are weaker than a normal stack.</t>
  </si>
  <si>
    <t>Automation via Zapier</t>
  </si>
  <si>
    <t>Wix accessibility tools</t>
  </si>
  <si>
    <t>Wix Members Area</t>
  </si>
  <si>
    <t>Wix Members Area is rigid. Set expectations on customization.</t>
  </si>
  <si>
    <t>User profiles</t>
  </si>
  <si>
    <t>Gated pages/content</t>
  </si>
  <si>
    <t>Product showcase</t>
  </si>
  <si>
    <t>Wix Stores pages</t>
  </si>
  <si>
    <t>Category Pages</t>
  </si>
  <si>
    <t>Collections/categories</t>
  </si>
  <si>
    <t>Product page</t>
  </si>
  <si>
    <t>Cart &amp; Checkout</t>
  </si>
  <si>
    <t>Built-in checkout</t>
  </si>
  <si>
    <t>Custom fields and guest checkout rules add time.</t>
  </si>
  <si>
    <t>Wix Payments / Stripe</t>
  </si>
  <si>
    <t>Shipping rules</t>
  </si>
  <si>
    <t>Taxes Setup</t>
  </si>
  <si>
    <t>Tax config</t>
  </si>
  <si>
    <t>Advanced</t>
  </si>
  <si>
    <t>Wix Dynamic Content (CMS)</t>
  </si>
  <si>
    <t>Wix CMS collections + repeaters</t>
  </si>
  <si>
    <t>Wix CMS has collection and item limits. Check them against the client's data.</t>
  </si>
  <si>
    <t>Custom Logic (Velo)</t>
  </si>
  <si>
    <t>Custom interactions using Velo</t>
  </si>
  <si>
    <t>Velo skills are less common. Confirm you have someone who can support it.</t>
  </si>
  <si>
    <t>Filters &amp; Search</t>
  </si>
  <si>
    <t>Dataset filtering/search</t>
  </si>
  <si>
    <t>Dataset filtering performance degrades on large collections.</t>
  </si>
  <si>
    <t>Basic Product Customization</t>
  </si>
  <si>
    <t>Product options or apps</t>
  </si>
  <si>
    <t>Excludes app costs. Wix product options are limited.</t>
  </si>
  <si>
    <t>Image + layout optimization</t>
  </si>
  <si>
    <t>Wix gives you little performance control. Never guarantee a score.</t>
  </si>
  <si>
    <t>Wix SEO tools</t>
  </si>
  <si>
    <t>Redirect manager</t>
  </si>
  <si>
    <t>Wix Site Setup</t>
  </si>
  <si>
    <t>Create site</t>
  </si>
  <si>
    <t>Excludes the Wix subscription.</t>
  </si>
  <si>
    <t>Template &amp; Design Setup</t>
  </si>
  <si>
    <t>Editor + styles</t>
  </si>
  <si>
    <t>Wix templates cannot be swapped after launch. Choose carefully.</t>
  </si>
  <si>
    <t>Test responsiveness + features</t>
  </si>
  <si>
    <t>Publish site</t>
  </si>
  <si>
    <t>Task Pricing – PHP / HTML / CSS</t>
  </si>
  <si>
    <t>Custom grid layout for services/products</t>
  </si>
  <si>
    <t>Testimonials Slider (Dynamic)</t>
  </si>
  <si>
    <t>Dynamic testimonials via DB/API</t>
  </si>
  <si>
    <t>Depends on the review platform's API. Add hours for keys, rate limits, and caching.</t>
  </si>
  <si>
    <t>Embedded testimonials</t>
  </si>
  <si>
    <t>Team members section</t>
  </si>
  <si>
    <t>Footer with navigation and contact info</t>
  </si>
  <si>
    <t>Feature sections</t>
  </si>
  <si>
    <t>Logos and credibility indicators</t>
  </si>
  <si>
    <t>FAQ block</t>
  </si>
  <si>
    <t>Pricing layout</t>
  </si>
  <si>
    <t>Custom gallery</t>
  </si>
  <si>
    <t>Stripe/PayPal integration</t>
  </si>
  <si>
    <t>Excludes merchant account setup. Test-mode and live-mode testing both take time.</t>
  </si>
  <si>
    <t>Use case sections</t>
  </si>
  <si>
    <t>Dynamic selector</t>
  </si>
  <si>
    <t>Location-based content</t>
  </si>
  <si>
    <t>Conditional rendering</t>
  </si>
  <si>
    <t>Each extra rule adds testing time, not just build time.</t>
  </si>
  <si>
    <t>Map-based finder</t>
  </si>
  <si>
    <t>Excludes map API billing. Radius search and geolocation add hours.</t>
  </si>
  <si>
    <t>Personalized content</t>
  </si>
  <si>
    <t>Reusable components</t>
  </si>
  <si>
    <t>Hours depend on how many blocks. Define the block count in the quote.</t>
  </si>
  <si>
    <t>Advanced filtering/search</t>
  </si>
  <si>
    <t>AJAX filtering, large datasets, and combined filters all add time.</t>
  </si>
  <si>
    <t>External API integrations</t>
  </si>
  <si>
    <t>Poorly documented or unstable third-party APIs are the biggest overrun risk.</t>
  </si>
  <si>
    <t>Charts and data dashboards</t>
  </si>
  <si>
    <t>Scroll animations</t>
  </si>
  <si>
    <t>Custom interactions</t>
  </si>
  <si>
    <t>Advanced layouts</t>
  </si>
  <si>
    <t>Portfolio display</t>
  </si>
  <si>
    <t>Custom form (frontend + backend)</t>
  </si>
  <si>
    <t>reCAPTCHA / validation</t>
  </si>
  <si>
    <t>Custom multi-step form</t>
  </si>
  <si>
    <t>Content page</t>
  </si>
  <si>
    <t>Conversion-focused page</t>
  </si>
  <si>
    <t>Form + contact details</t>
  </si>
  <si>
    <t>Detail Page Template</t>
  </si>
  <si>
    <t>Dynamic template</t>
  </si>
  <si>
    <t>Form Layout</t>
  </si>
  <si>
    <t>Frontend form UI</t>
  </si>
  <si>
    <t>Frontend only. Validation and email are separate lines.</t>
  </si>
  <si>
    <t>Validation &amp; Error Handling</t>
  </si>
  <si>
    <t>Client + server validation</t>
  </si>
  <si>
    <t>Client-side and server-side are both needed. Do not skip server-side.</t>
  </si>
  <si>
    <t>Email Notification</t>
  </si>
  <si>
    <t>Send submission emails</t>
  </si>
  <si>
    <t>Deliverability setup (SPF/DKIM) may add time and is easy to forget.</t>
  </si>
  <si>
    <t>Multi-step UI</t>
  </si>
  <si>
    <t>Conditional logic</t>
  </si>
  <si>
    <t>Testing every branch path often exceeds build time. Add QA hours.</t>
  </si>
  <si>
    <t>Process/store submissions</t>
  </si>
  <si>
    <t>Connect to CRM</t>
  </si>
  <si>
    <t>Map fields</t>
  </si>
  <si>
    <t>Logging + fail handling</t>
  </si>
  <si>
    <t>Booking system</t>
  </si>
  <si>
    <t>Chat widget</t>
  </si>
  <si>
    <t>Simple API</t>
  </si>
  <si>
    <t>Advanced API</t>
  </si>
  <si>
    <t>Automation</t>
  </si>
  <si>
    <t>Basic compliance</t>
  </si>
  <si>
    <t>Scales with page count. Alt text writing may be Creative time.</t>
  </si>
  <si>
    <t>Accessibility (ADA) Strict</t>
  </si>
  <si>
    <t>Full WCAG</t>
  </si>
  <si>
    <t>Excludes third-party audit or certification. Never guarantee legal compliance.</t>
  </si>
  <si>
    <t>Login System</t>
  </si>
  <si>
    <t>Auth system</t>
  </si>
  <si>
    <t>Email verification, password reset, and security hardening should be confirmed in or out.</t>
  </si>
  <si>
    <t>Permissions system</t>
  </si>
  <si>
    <t>Document Portal</t>
  </si>
  <si>
    <t>File portal</t>
  </si>
  <si>
    <t>Category/shop pages</t>
  </si>
  <si>
    <t>Session/cart system</t>
  </si>
  <si>
    <t>Custom checkout</t>
  </si>
  <si>
    <t>Custom checkout carries real payment and security risk. Price accordingly.</t>
  </si>
  <si>
    <t>Shipping logic</t>
  </si>
  <si>
    <t>Dynamic tax logic</t>
  </si>
  <si>
    <t>Review system</t>
  </si>
  <si>
    <t>Building a review system from scratch includes moderation and spam handling.</t>
  </si>
  <si>
    <t>Personalization</t>
  </si>
  <si>
    <t>Recommended products</t>
  </si>
  <si>
    <t>Dynamic UI updates</t>
  </si>
  <si>
    <t>Option selection</t>
  </si>
  <si>
    <t>Image generation</t>
  </si>
  <si>
    <t>Pattern system</t>
  </si>
  <si>
    <t>File handling</t>
  </si>
  <si>
    <t>Capture previews</t>
  </si>
  <si>
    <t>Cross-browser behavior varies a lot. Budget extra QA.</t>
  </si>
  <si>
    <t>Configurator – 3D</t>
  </si>
  <si>
    <t>WebGL Viewer</t>
  </si>
  <si>
    <t>3D rendering</t>
  </si>
  <si>
    <t>Highest technical risk item on the sheet. Consider a paid discovery phase first.</t>
  </si>
  <si>
    <t>Dynamic pricing</t>
  </si>
  <si>
    <t>Saved Designs</t>
  </si>
  <si>
    <t>User saved states</t>
  </si>
  <si>
    <t>Overlaps with login and profile tasks. Avoid double-billing.</t>
  </si>
  <si>
    <t>Logo Upload</t>
  </si>
  <si>
    <t>File upload</t>
  </si>
  <si>
    <t>Calculation logic</t>
  </si>
  <si>
    <t>Share state via URL</t>
  </si>
  <si>
    <t>Admin panel</t>
  </si>
  <si>
    <t>SSL Setup</t>
  </si>
  <si>
    <t>SSL configuration</t>
  </si>
  <si>
    <t>Caching &amp; Optimization</t>
  </si>
  <si>
    <t>Server + frontend optimization</t>
  </si>
  <si>
    <t>Full control here, so real gains are possible, unlike on hosted platforms.</t>
  </si>
  <si>
    <t>Backup systems</t>
  </si>
  <si>
    <t>No platform does this for you. Build it in or the client carries the risk.</t>
  </si>
  <si>
    <t>Analytics setup</t>
  </si>
  <si>
    <t>Tag manager</t>
  </si>
  <si>
    <t>User tracking</t>
  </si>
  <si>
    <t>Blog Listing</t>
  </si>
  <si>
    <t>Blog index</t>
  </si>
  <si>
    <t>Blog post template</t>
  </si>
  <si>
    <t>Lead Capture</t>
  </si>
  <si>
    <t>SEO Setup</t>
  </si>
  <si>
    <t>Structured data</t>
  </si>
  <si>
    <t>XML sitemap</t>
  </si>
  <si>
    <t>Crawl rules</t>
  </si>
  <si>
    <t>Copy Optimization</t>
  </si>
  <si>
    <t>Improve content</t>
  </si>
  <si>
    <t>New Copy (800 words)</t>
  </si>
  <si>
    <t>Content writing</t>
  </si>
  <si>
    <t>301 redirects</t>
  </si>
  <si>
    <t>Hosting Setup</t>
  </si>
  <si>
    <t>Server setup</t>
  </si>
  <si>
    <t>Raw server setup takes longer than managed hosting. Excludes hosting cost.</t>
  </si>
  <si>
    <t>Base Project Setup</t>
  </si>
  <si>
    <t>PHP structure</t>
  </si>
  <si>
    <t>Foundation work that every later task depends on. Do not skip it in the quote.</t>
  </si>
  <si>
    <t>Routing Setup</t>
  </si>
  <si>
    <t>URL routing</t>
  </si>
  <si>
    <t>Foundation work. Clean URLs and SEO-friendly routes take longer than basic routing.</t>
  </si>
  <si>
    <t>Database Setup</t>
  </si>
  <si>
    <t>DB schema</t>
  </si>
  <si>
    <t>Excludes schema design, which is a separate line.</t>
  </si>
  <si>
    <t>Auth System Setup</t>
  </si>
  <si>
    <t>User auth system</t>
  </si>
  <si>
    <t>Password reset, sessions, and security hardening should be confirmed in or out.</t>
  </si>
  <si>
    <t>Dev Environment</t>
  </si>
  <si>
    <t>Local setup</t>
  </si>
  <si>
    <t>Internal setup cost. Decide whether you bill this or absorb it.</t>
  </si>
  <si>
    <t>Content migration</t>
  </si>
  <si>
    <t>Biggest variable in the list. Depends entirely on the size and state of the old site.</t>
  </si>
  <si>
    <t>Staging Setup</t>
  </si>
  <si>
    <t>Staging environment</t>
  </si>
  <si>
    <t>No client-visible deliverable, so explain the value or absorb the cost.</t>
  </si>
  <si>
    <t>DNS config</t>
  </si>
  <si>
    <t>Launch</t>
  </si>
  <si>
    <t>URL Sync</t>
  </si>
  <si>
    <t>URL updates</t>
  </si>
  <si>
    <t>CDN Setup</t>
  </si>
  <si>
    <t>Cloudflare/CDN</t>
  </si>
  <si>
    <t>SSL Fixes</t>
  </si>
  <si>
    <t>HTTPS fixes</t>
  </si>
  <si>
    <t>Final QA</t>
  </si>
  <si>
    <t>Full testing</t>
  </si>
  <si>
    <t>Speed testing</t>
  </si>
  <si>
    <t>Testing only. Any fixes found are billed under Performance &amp; Security.</t>
  </si>
  <si>
    <t>Database Setup &amp; Configuration</t>
  </si>
  <si>
    <t>Create database, users, permissions, connection setup</t>
  </si>
  <si>
    <t>Database Schema Design</t>
  </si>
  <si>
    <t>Design tables, relationships, normalization</t>
  </si>
  <si>
    <t>Changes late in the project are expensive. Lock the schema before building.</t>
  </si>
  <si>
    <t>Data Modeling (Entities &amp; Relationships)</t>
  </si>
  <si>
    <t>Define structure for features (users, products, etc.)</t>
  </si>
  <si>
    <t>Requires client input on their real data. Budget meeting time.</t>
  </si>
  <si>
    <t>Migrations / Versioning</t>
  </si>
  <si>
    <t>Setup schema version control and migrations</t>
  </si>
  <si>
    <t>Pays for itself later, but clients rarely see the value. Explain it.</t>
  </si>
  <si>
    <t>ORM / Query Layer Setup</t>
  </si>
  <si>
    <t>Setup database abstraction or query handling</t>
  </si>
  <si>
    <t>One-time foundation work. Reusable across projects.</t>
  </si>
  <si>
    <t>Seed Data / Initial Data Setup</t>
  </si>
  <si>
    <t>Populate initial data for testing/dev</t>
  </si>
  <si>
    <t>Test data only. Real content entry is separate.</t>
  </si>
  <si>
    <t>Database Optimization</t>
  </si>
  <si>
    <t>Indexes, query optimization, performance tuning</t>
  </si>
  <si>
    <t>Only meaningful once there is real data volume. Consider billing post-launch.</t>
  </si>
  <si>
    <t>Task Pricing – React.js / Next.js</t>
  </si>
  <si>
    <t>Base Hours unchanged. Several rows on this tab were copied from the WordPress sheet - see the notes column.</t>
  </si>
  <si>
    <t>Services / Product Grid</t>
  </si>
  <si>
    <t>Grid for services/products</t>
  </si>
  <si>
    <t>API-driven testimonials</t>
  </si>
  <si>
    <t>Team section</t>
  </si>
  <si>
    <t>Footer with nav/contact</t>
  </si>
  <si>
    <t>Benefits / Features</t>
  </si>
  <si>
    <t>Logos and trust elements</t>
  </si>
  <si>
    <t>Image galleries</t>
  </si>
  <si>
    <t>Stripe/PayPal plugin-based</t>
  </si>
  <si>
    <t>Multi-industry selector</t>
  </si>
  <si>
    <t>Location selector</t>
  </si>
  <si>
    <t>Conditional content</t>
  </si>
  <si>
    <t>Audience targeting</t>
  </si>
  <si>
    <t>Reusable custom blocks</t>
  </si>
  <si>
    <t>Advanced filtering</t>
  </si>
  <si>
    <t>External API data</t>
  </si>
  <si>
    <t>Data dashboards</t>
  </si>
  <si>
    <t>Image-heavy design</t>
  </si>
  <si>
    <t>Interactive hover states</t>
  </si>
  <si>
    <t>Custom layouts</t>
  </si>
  <si>
    <t>Portfolio section</t>
  </si>
  <si>
    <t>Standard form (no CRM)</t>
  </si>
  <si>
    <t>Spam prevention</t>
  </si>
  <si>
    <t>Advanced multi-step form</t>
  </si>
  <si>
    <t>Landing page layout</t>
  </si>
  <si>
    <t>Contact form + details</t>
  </si>
  <si>
    <t>Detail Template (Blog/Service)</t>
  </si>
  <si>
    <t>Layout, validation, email</t>
  </si>
  <si>
    <t>Store/process submissions</t>
  </si>
  <si>
    <t>CRM connection</t>
  </si>
  <si>
    <t>Field mapping</t>
  </si>
  <si>
    <t>Error handling</t>
  </si>
  <si>
    <t>Booking plugin</t>
  </si>
  <si>
    <t>Login/register</t>
  </si>
  <si>
    <t>Access control</t>
  </si>
  <si>
    <t>Document portal</t>
  </si>
  <si>
    <t>Custom fields, guest checkout, and one-page checkout all add time.</t>
  </si>
  <si>
    <t>Product Variations Setup</t>
  </si>
  <si>
    <t>Configure product variations (size, color, attributes)</t>
  </si>
  <si>
    <t>68: Variations</t>
  </si>
  <si>
    <t>Custom fields/options via plugin</t>
  </si>
  <si>
    <t>68: Options</t>
  </si>
  <si>
    <t>Add-ons with logic via plugin</t>
  </si>
  <si>
    <t>62-66 Required</t>
  </si>
  <si>
    <t>Recurring payments (plugin)</t>
  </si>
  <si>
    <t>Failed-payment and renewal testing takes real time.</t>
  </si>
  <si>
    <t>Coupons and promos</t>
  </si>
  <si>
    <t>71: Discounts</t>
  </si>
  <si>
    <t>Dynamic/role pricing</t>
  </si>
  <si>
    <t>55-66 Required</t>
  </si>
  <si>
    <t>Bundled products</t>
  </si>
  <si>
    <t>Wishlist plugin</t>
  </si>
  <si>
    <t>Advanced filters plugin</t>
  </si>
  <si>
    <t>Configurator – Basic</t>
  </si>
  <si>
    <t>Color switching</t>
  </si>
  <si>
    <t>Shape selection</t>
  </si>
  <si>
    <t>Preview images</t>
  </si>
  <si>
    <t>Configurator – Advanced</t>
  </si>
  <si>
    <t>Capture designs</t>
  </si>
  <si>
    <t>3D camera</t>
  </si>
  <si>
    <t>3D models</t>
  </si>
  <si>
    <t>Excludes 3D modeling. Confirm the client supplies optimized models.</t>
  </si>
  <si>
    <t>Real-time visuals</t>
  </si>
  <si>
    <t>Template Setup</t>
  </si>
  <si>
    <t>Custom builder</t>
  </si>
  <si>
    <t>Dimension tools</t>
  </si>
  <si>
    <t>User saves</t>
  </si>
  <si>
    <t>Upload logos</t>
  </si>
  <si>
    <t>Size logic</t>
  </si>
  <si>
    <t>Share links</t>
  </si>
  <si>
    <t>Admin tools</t>
  </si>
  <si>
    <t>SSL setup</t>
  </si>
  <si>
    <t>Caching + speed</t>
  </si>
  <si>
    <t>ISR, SSR, and caching strategy decisions belong in Discovery, not the build.</t>
  </si>
  <si>
    <t>Backups</t>
  </si>
  <si>
    <t>Setup only. Ongoing backup monitoring belongs in Maintenance &amp; Support.</t>
  </si>
  <si>
    <t>Conversion Tracking (Basic)</t>
  </si>
  <si>
    <t>Form tracking</t>
  </si>
  <si>
    <t>Form submissions only. Advanced event tracking is a separate line.</t>
  </si>
  <si>
    <t>Conversion Tracking (Moderate)</t>
  </si>
  <si>
    <t>Post template</t>
  </si>
  <si>
    <t>SEO plugin config</t>
  </si>
  <si>
    <t>No SEO plugin here. Metadata is coded per route, which takes longer than WordPress.</t>
  </si>
  <si>
    <t>Hand-coded JSON-LD per template. More work than a plugin.</t>
  </si>
  <si>
    <t>Must be generated in code. Not automatic like WordPress or Squarespace.</t>
  </si>
  <si>
    <t>New Content (800 words)</t>
  </si>
  <si>
    <t>Copywriting</t>
  </si>
  <si>
    <t>URL Redirects (301)</t>
  </si>
  <si>
    <t>Redirects</t>
  </si>
  <si>
    <t>Core Web Vitals Optimization</t>
  </si>
  <si>
    <t>Performance SEO</t>
  </si>
  <si>
    <t>Bundle size and hydration are the usual culprits. Budget profiling time.</t>
  </si>
  <si>
    <t>Vercel/Netlify is fast; self-hosted Node needs more. Confirm which before quoting.</t>
  </si>
  <si>
    <t>WordPress Installation</t>
  </si>
  <si>
    <t>WP install</t>
  </si>
  <si>
    <t>This row came from the WordPress sheet and does not belong here. Remove or replace it.</t>
  </si>
  <si>
    <t>Theme / Builder Setup</t>
  </si>
  <si>
    <t>Theme config</t>
  </si>
  <si>
    <t>This row came from the WordPress sheet. Replace with project scaffolding setup.</t>
  </si>
  <si>
    <t>Plugin Setup</t>
  </si>
  <si>
    <t>Core plugins</t>
  </si>
  <si>
    <t>This row came from the WordPress sheet. Replace with package/dependency setup.</t>
  </si>
  <si>
    <t>User Roles &amp; Permissions</t>
  </si>
  <si>
    <t>Access setup</t>
  </si>
  <si>
    <t>Custom roles beyond the platform defaults add hours.</t>
  </si>
  <si>
    <t>Local / Dev Setup</t>
  </si>
  <si>
    <t>Local env</t>
  </si>
  <si>
    <t>Environment Sync</t>
  </si>
  <si>
    <t>Dev ↔ staging</t>
  </si>
  <si>
    <t>Usually done more than once. Price per sync or cap the number.</t>
  </si>
  <si>
    <t>Staging site</t>
  </si>
  <si>
    <t>CPT &amp; Fields Setup</t>
  </si>
  <si>
    <t>Custom post types</t>
  </si>
  <si>
    <t>This row came from the WordPress sheet. Replace with your headless CMS schema setup.</t>
  </si>
  <si>
    <t>Dynamic Template Build</t>
  </si>
  <si>
    <t>ACF/templates</t>
  </si>
  <si>
    <t>This row came from the WordPress sheet. Replace with dynamic route/template build.</t>
  </si>
  <si>
    <t>Add content</t>
  </si>
  <si>
    <t>Migration</t>
  </si>
  <si>
    <t>Testing</t>
  </si>
  <si>
    <t>Backup</t>
  </si>
  <si>
    <t>CI/CD pipeline setup is a one-time cost worth stating separately.</t>
  </si>
  <si>
    <t>CDN</t>
  </si>
  <si>
    <t>QA &amp; Bug Fixes</t>
  </si>
  <si>
    <t>Fixes</t>
  </si>
  <si>
    <t>Speed check</t>
  </si>
  <si>
    <t>Set up database, configure tables, users, and connections</t>
  </si>
  <si>
    <t>Custom Database Schema (if needed)</t>
  </si>
  <si>
    <t>Create custom tables or extend schema for advanced features</t>
  </si>
  <si>
    <t>Data Modeling (CPT / ACF Structure)</t>
  </si>
  <si>
    <t>Structure content using custom post types and fields</t>
  </si>
  <si>
    <t>This row came from the WordPress sheet. Replace with your real data model.</t>
  </si>
  <si>
    <t>Platform Summary</t>
  </si>
  <si>
    <t>Total of every task in each library. Not a quote - it is what the full task list would cost end to end.</t>
  </si>
  <si>
    <t>Platform</t>
  </si>
  <si>
    <t>Tasks</t>
  </si>
  <si>
    <t>Total Hours</t>
  </si>
  <si>
    <t>Total Cost</t>
  </si>
  <si>
    <t>WordPress</t>
  </si>
  <si>
    <t>Squarespace</t>
  </si>
  <si>
    <t>Shopify</t>
  </si>
  <si>
    <t>WIX</t>
  </si>
  <si>
    <t>PHP-HTML-CSS</t>
  </si>
  <si>
    <t>React-NextJS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</si>
</sst>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9">
    <font>
      <sz val="11"/>
      <color theme="1"/>
      <name val="Calibri"/>
      <family val="2"/>
      <charset val="1"/>
    </font>
    <font>
      <b/>
      <sz val="13"/>
      <color rgb="FF1F3864"/>
      <name val="Arial"/>
      <charset val="1"/>
    </font>
    <font>
      <i/>
      <sz val="9"/>
      <color rgb="FF595959"/>
      <name val="Arial"/>
      <charset val="1"/>
    </font>
    <font>
      <b/>
      <sz val="10"/>
      <color rgb="FF1F3864"/>
      <name val="Arial"/>
      <charset val="1"/>
    </font>
    <font>
      <sz val="10"/>
      <name val="Arial"/>
      <charset val="1"/>
    </font>
    <font>
      <b/>
      <sz val="10"/>
      <name val="Arial"/>
      <charset val="1"/>
    </font>
    <font>
      <b/>
      <sz val="10"/>
      <color rgb="FFFFFFFF"/>
      <name val="Arial"/>
      <charset val="1"/>
    </font>
    <font>
      <sz val="10"/>
      <color rgb="FF0000FF"/>
      <name val="Arial"/>
      <charset val="1"/>
    </font>
    <font>
      <i/>
      <sz val="9"/>
      <color rgb="FFC00000"/>
      <name val="Arial"/>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horizontal="lef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2" borderId="1" xfId="0" applyFont="1" applyFill="1" applyBorder="1"/>
    <xf numFmtId="0" fontId="4" fillId="0" borderId="1" xfId="0" applyFont="1" applyBorder="1"/>
    <xf numFmtId="164" fontId="7" fillId="3" borderId="1" xfId="0" applyNumberFormat="1" applyFont="1" applyFill="1" applyBorder="1"/>
    <xf numFmtId="0" fontId="8" fillId="0" borderId="0" xfId="0" applyFont="1"/>
    <xf numFmtId="164" fontId="4" fillId="0" borderId="1" xfId="0" applyNumberFormat="1" applyFont="1" applyBorder="1" applyAlignment="1">
      <alignment vertical="top" wrapText="1"/>
    </xf>
    <xf numFmtId="165" fontId="4" fillId="0" borderId="1" xfId="0" applyNumberFormat="1" applyFont="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164" fontId="4" fillId="4" borderId="1" xfId="0" applyNumberFormat="1" applyFont="1" applyFill="1" applyBorder="1" applyAlignment="1">
      <alignment vertical="top" wrapText="1"/>
    </xf>
    <xf numFmtId="165" fontId="4" fillId="4" borderId="1" xfId="0" applyNumberFormat="1" applyFont="1" applyFill="1" applyBorder="1" applyAlignment="1">
      <alignment vertical="top" wrapText="1"/>
    </xf>
    <xf numFmtId="0" fontId="5" fillId="0" borderId="0" xfId="0" applyFont="1"/>
    <xf numFmtId="165" fontId="5" fillId="0" borderId="0" xfId="0" applyNumberFormat="1" applyFont="1"/>
    <xf numFmtId="164" fontId="5" fillId="0" borderId="0" xfId="0" applyNumberFormat="1" applyFont="1"/>
    <xf numFmtId="0" fontId="5" fillId="0" borderId="1" xfId="0" applyFont="1" applyBorder="1"/>
    <xf numFmtId="165" fontId="4" fillId="0" borderId="1" xfId="0" applyNumberFormat="1" applyFont="1" applyBorder="1"/>
    <xf numFmtId="164"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zoomScaleNormal="100" workbookViewId="0">
      <selection activeCell="B4" sqref="B4"/>
    </sheetView>
  </sheetViews>
  <sheetFormatPr defaultColWidth="8.7109375" defaultRowHeight="15"/>
  <cols>
    <col min="1" max="1" width="44" customWidth="1"/>
    <col min="2" max="2" width="92" customWidth="1"/>
  </cols>
  <sheetData>
    <row r="1" spans="1:2" ht="16.5">
      <c r="A1" s="1" t="s">
        <v>0</v>
      </c>
    </row>
    <row r="2" spans="1:2">
      <c r="A2" s="2" t="s">
        <v>1</v>
      </c>
    </row>
    <row r="4" spans="1:2">
      <c r="A4" s="3" t="s">
        <v>2</v>
      </c>
      <c r="B4" s="4"/>
    </row>
    <row r="5" spans="1:2">
      <c r="A5" s="5" t="s">
        <v>3</v>
      </c>
      <c r="B5" s="4" t="s">
        <v>4</v>
      </c>
    </row>
    <row r="6" spans="1:2">
      <c r="A6" s="5" t="s">
        <v>5</v>
      </c>
      <c r="B6" s="4" t="s">
        <v>6</v>
      </c>
    </row>
    <row r="7" spans="1:2">
      <c r="A7" s="5" t="s">
        <v>7</v>
      </c>
      <c r="B7" s="4" t="s">
        <v>8</v>
      </c>
    </row>
    <row r="8" spans="1:2">
      <c r="A8" s="5" t="s">
        <v>9</v>
      </c>
      <c r="B8" s="4" t="s">
        <v>10</v>
      </c>
    </row>
    <row r="9" spans="1:2">
      <c r="A9" s="3"/>
      <c r="B9" s="4"/>
    </row>
    <row r="10" spans="1:2">
      <c r="A10" s="3" t="s">
        <v>11</v>
      </c>
      <c r="B10" s="4"/>
    </row>
    <row r="11" spans="1:2">
      <c r="A11" s="5" t="s">
        <v>12</v>
      </c>
      <c r="B11" s="4" t="s">
        <v>13</v>
      </c>
    </row>
    <row r="12" spans="1:2">
      <c r="A12" s="5" t="s">
        <v>14</v>
      </c>
      <c r="B12" s="4" t="s">
        <v>15</v>
      </c>
    </row>
    <row r="13" spans="1:2">
      <c r="A13" s="5" t="s">
        <v>16</v>
      </c>
      <c r="B13" s="4" t="s">
        <v>17</v>
      </c>
    </row>
    <row r="14" spans="1:2">
      <c r="A14" s="5" t="s">
        <v>18</v>
      </c>
      <c r="B14" s="4" t="s">
        <v>19</v>
      </c>
    </row>
    <row r="15" spans="1:2">
      <c r="A15" s="5" t="s">
        <v>20</v>
      </c>
      <c r="B15" s="4" t="s">
        <v>21</v>
      </c>
    </row>
    <row r="16" spans="1:2">
      <c r="A16" s="5" t="s">
        <v>22</v>
      </c>
      <c r="B16" s="4" t="s">
        <v>23</v>
      </c>
    </row>
    <row r="17" spans="1:2">
      <c r="A17" s="5" t="s">
        <v>24</v>
      </c>
      <c r="B17" s="4" t="s">
        <v>25</v>
      </c>
    </row>
    <row r="18" spans="1:2">
      <c r="A18" s="3"/>
      <c r="B18" s="4"/>
    </row>
    <row r="19" spans="1:2">
      <c r="A19" s="3" t="s">
        <v>26</v>
      </c>
      <c r="B19" s="4"/>
    </row>
    <row r="20" spans="1:2">
      <c r="A20" s="5" t="s">
        <v>27</v>
      </c>
      <c r="B20" s="4" t="s">
        <v>28</v>
      </c>
    </row>
    <row r="21" spans="1:2">
      <c r="A21" s="5" t="s">
        <v>29</v>
      </c>
      <c r="B21" s="4" t="s">
        <v>30</v>
      </c>
    </row>
    <row r="22" spans="1:2">
      <c r="A22" s="5" t="s">
        <v>31</v>
      </c>
      <c r="B22" s="4" t="s">
        <v>32</v>
      </c>
    </row>
    <row r="23" spans="1:2">
      <c r="A23" s="5" t="s">
        <v>33</v>
      </c>
      <c r="B23" s="4" t="s">
        <v>34</v>
      </c>
    </row>
    <row r="24" spans="1:2">
      <c r="A24" s="3"/>
      <c r="B24" s="4"/>
    </row>
    <row r="25" spans="1:2">
      <c r="A25" s="3" t="s">
        <v>35</v>
      </c>
      <c r="B25" s="4"/>
    </row>
    <row r="26" spans="1:2">
      <c r="A26" s="5" t="s">
        <v>36</v>
      </c>
      <c r="B26" s="4" t="s">
        <v>37</v>
      </c>
    </row>
    <row r="27" spans="1:2">
      <c r="A27" s="5" t="s">
        <v>38</v>
      </c>
      <c r="B27" s="4" t="s">
        <v>39</v>
      </c>
    </row>
    <row r="28" spans="1:2">
      <c r="A28" s="5" t="s">
        <v>40</v>
      </c>
      <c r="B28" s="4" t="s">
        <v>41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zoomScaleNormal="100" workbookViewId="0">
      <pane ySplit="4" topLeftCell="A5" activePane="bottomLeft" state="frozen"/>
      <selection pane="bottomLeft"/>
    </sheetView>
  </sheetViews>
  <sheetFormatPr defaultColWidth="8.7109375" defaultRowHeight="15"/>
  <cols>
    <col min="1" max="1" width="12" customWidth="1"/>
    <col min="2" max="2" width="26" customWidth="1"/>
    <col min="3" max="3" width="78" customWidth="1"/>
  </cols>
  <sheetData>
    <row r="1" spans="1:3" ht="16.5">
      <c r="A1" s="1" t="s">
        <v>3</v>
      </c>
    </row>
    <row r="2" spans="1:3">
      <c r="A2" s="2" t="s">
        <v>42</v>
      </c>
    </row>
    <row r="4" spans="1:3">
      <c r="A4" s="6" t="s">
        <v>43</v>
      </c>
      <c r="B4" s="6" t="s">
        <v>44</v>
      </c>
      <c r="C4" s="6" t="s">
        <v>45</v>
      </c>
    </row>
    <row r="5" spans="1:3">
      <c r="A5" s="7">
        <v>1</v>
      </c>
      <c r="B5" s="8" t="s">
        <v>46</v>
      </c>
      <c r="C5" s="7" t="s">
        <v>47</v>
      </c>
    </row>
    <row r="6" spans="1:3">
      <c r="A6" s="7">
        <v>2</v>
      </c>
      <c r="B6" s="8" t="s">
        <v>48</v>
      </c>
      <c r="C6" s="7" t="s">
        <v>49</v>
      </c>
    </row>
    <row r="7" spans="1:3">
      <c r="A7" s="7">
        <v>3</v>
      </c>
      <c r="B7" s="8" t="s">
        <v>50</v>
      </c>
      <c r="C7" s="7" t="s">
        <v>51</v>
      </c>
    </row>
    <row r="8" spans="1:3">
      <c r="A8" s="7">
        <v>4</v>
      </c>
      <c r="B8" s="8" t="s">
        <v>52</v>
      </c>
      <c r="C8" s="7" t="s">
        <v>53</v>
      </c>
    </row>
    <row r="9" spans="1:3">
      <c r="A9" s="7">
        <v>5</v>
      </c>
      <c r="B9" s="8" t="s">
        <v>54</v>
      </c>
      <c r="C9" s="7" t="s">
        <v>55</v>
      </c>
    </row>
    <row r="10" spans="1:3">
      <c r="A10" s="7">
        <v>6</v>
      </c>
      <c r="B10" s="8" t="s">
        <v>56</v>
      </c>
      <c r="C10" s="7" t="s">
        <v>57</v>
      </c>
    </row>
    <row r="11" spans="1:3">
      <c r="A11" s="7">
        <v>7</v>
      </c>
      <c r="B11" s="8" t="s">
        <v>58</v>
      </c>
      <c r="C11" s="7" t="s">
        <v>59</v>
      </c>
    </row>
    <row r="12" spans="1:3">
      <c r="A12" s="7">
        <v>8</v>
      </c>
      <c r="B12" s="8" t="s">
        <v>60</v>
      </c>
      <c r="C12" s="7" t="s">
        <v>61</v>
      </c>
    </row>
    <row r="13" spans="1:3">
      <c r="A13" s="7">
        <v>9</v>
      </c>
      <c r="B13" s="8" t="s">
        <v>62</v>
      </c>
      <c r="C13" s="7" t="s">
        <v>63</v>
      </c>
    </row>
    <row r="14" spans="1:3">
      <c r="A14" s="7">
        <v>10</v>
      </c>
      <c r="B14" s="8" t="s">
        <v>64</v>
      </c>
      <c r="C14" s="7" t="s">
        <v>65</v>
      </c>
    </row>
    <row r="15" spans="1:3">
      <c r="A15" s="7">
        <v>11</v>
      </c>
      <c r="B15" s="8" t="s">
        <v>66</v>
      </c>
      <c r="C15" s="7" t="s">
        <v>67</v>
      </c>
    </row>
    <row r="16" spans="1:3">
      <c r="A16" s="7">
        <v>12</v>
      </c>
      <c r="B16" s="8" t="s">
        <v>68</v>
      </c>
      <c r="C16" s="7" t="s">
        <v>69</v>
      </c>
    </row>
    <row r="17" spans="1:3">
      <c r="A17" s="7">
        <v>13</v>
      </c>
      <c r="B17" s="8" t="s">
        <v>70</v>
      </c>
      <c r="C17" s="7" t="s">
        <v>71</v>
      </c>
    </row>
    <row r="18" spans="1:3">
      <c r="A18" s="7">
        <v>14</v>
      </c>
      <c r="B18" s="8" t="s">
        <v>72</v>
      </c>
      <c r="C18" s="7" t="s">
        <v>73</v>
      </c>
    </row>
    <row r="19" spans="1:3">
      <c r="A19" s="7">
        <v>15</v>
      </c>
      <c r="B19" s="8" t="s">
        <v>74</v>
      </c>
      <c r="C19" s="7" t="s">
        <v>75</v>
      </c>
    </row>
    <row r="20" spans="1:3">
      <c r="A20" s="7">
        <v>16</v>
      </c>
      <c r="B20" s="8" t="s">
        <v>76</v>
      </c>
      <c r="C20" s="7" t="s">
        <v>77</v>
      </c>
    </row>
    <row r="21" spans="1:3">
      <c r="A21" s="7">
        <v>17</v>
      </c>
      <c r="B21" s="8" t="s">
        <v>78</v>
      </c>
      <c r="C21" s="7" t="s">
        <v>79</v>
      </c>
    </row>
    <row r="22" spans="1:3">
      <c r="A22" s="7">
        <v>18</v>
      </c>
      <c r="B22" s="8" t="s">
        <v>80</v>
      </c>
      <c r="C22" s="7" t="s">
        <v>81</v>
      </c>
    </row>
    <row r="23" spans="1:3">
      <c r="A23" s="7">
        <v>21</v>
      </c>
      <c r="B23" s="8" t="s">
        <v>82</v>
      </c>
      <c r="C23" s="7" t="s">
        <v>83</v>
      </c>
    </row>
    <row r="24" spans="1:3">
      <c r="A24" s="7">
        <v>22</v>
      </c>
      <c r="B24" s="8" t="s">
        <v>84</v>
      </c>
      <c r="C24" s="7" t="s">
        <v>85</v>
      </c>
    </row>
    <row r="25" spans="1:3">
      <c r="A25" s="7">
        <v>23</v>
      </c>
      <c r="B25" s="8" t="s">
        <v>86</v>
      </c>
      <c r="C25" s="7" t="s">
        <v>87</v>
      </c>
    </row>
    <row r="26" spans="1:3">
      <c r="A26" s="7">
        <v>24</v>
      </c>
      <c r="B26" s="8" t="s">
        <v>88</v>
      </c>
      <c r="C26" s="7" t="s">
        <v>89</v>
      </c>
    </row>
    <row r="27" spans="1:3">
      <c r="A27" s="7">
        <v>25</v>
      </c>
      <c r="B27" s="8" t="s">
        <v>90</v>
      </c>
      <c r="C27" s="7" t="s">
        <v>91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zoomScaleNormal="100" workbookViewId="0">
      <selection activeCell="D16" sqref="D16"/>
    </sheetView>
  </sheetViews>
  <sheetFormatPr defaultColWidth="8.7109375" defaultRowHeight="15"/>
  <cols>
    <col min="1" max="1" width="22" customWidth="1"/>
    <col min="2" max="2" width="12" customWidth="1"/>
    <col min="3" max="3" width="30" customWidth="1"/>
    <col min="4" max="4" width="14" customWidth="1"/>
  </cols>
  <sheetData>
    <row r="1" spans="1:4" ht="16.5">
      <c r="A1" s="1" t="s">
        <v>92</v>
      </c>
    </row>
    <row r="2" spans="1:4">
      <c r="A2" s="2" t="s">
        <v>93</v>
      </c>
    </row>
    <row r="3" spans="1:4">
      <c r="A3" s="2" t="s">
        <v>94</v>
      </c>
    </row>
    <row r="5" spans="1:4">
      <c r="A5" s="9" t="s">
        <v>16</v>
      </c>
      <c r="B5" s="9" t="s">
        <v>18</v>
      </c>
      <c r="C5" s="9" t="s">
        <v>95</v>
      </c>
      <c r="D5" s="9" t="s">
        <v>96</v>
      </c>
    </row>
    <row r="6" spans="1:4">
      <c r="A6" s="10" t="s">
        <v>97</v>
      </c>
      <c r="B6" s="10" t="s">
        <v>98</v>
      </c>
      <c r="C6" s="10" t="str">
        <f t="shared" ref="C6:C15" si="0">A6&amp;"|"&amp;B6</f>
        <v>IT|Level 1</v>
      </c>
      <c r="D6" s="11">
        <v>100</v>
      </c>
    </row>
    <row r="7" spans="1:4">
      <c r="A7" s="10" t="s">
        <v>97</v>
      </c>
      <c r="B7" s="10" t="s">
        <v>99</v>
      </c>
      <c r="C7" s="10" t="str">
        <f t="shared" si="0"/>
        <v>IT|Level 2</v>
      </c>
      <c r="D7" s="11">
        <v>120</v>
      </c>
    </row>
    <row r="8" spans="1:4">
      <c r="A8" s="10" t="s">
        <v>100</v>
      </c>
      <c r="B8" s="10" t="s">
        <v>98</v>
      </c>
      <c r="C8" s="10" t="str">
        <f t="shared" si="0"/>
        <v>Creative|Level 1</v>
      </c>
      <c r="D8" s="11">
        <v>100</v>
      </c>
    </row>
    <row r="9" spans="1:4">
      <c r="A9" s="10" t="s">
        <v>100</v>
      </c>
      <c r="B9" s="10" t="s">
        <v>99</v>
      </c>
      <c r="C9" s="10" t="str">
        <f t="shared" si="0"/>
        <v>Creative|Level 2</v>
      </c>
      <c r="D9" s="11">
        <v>130</v>
      </c>
    </row>
    <row r="10" spans="1:4">
      <c r="A10" s="10" t="s">
        <v>101</v>
      </c>
      <c r="B10" s="10" t="s">
        <v>98</v>
      </c>
      <c r="C10" s="10" t="str">
        <f t="shared" si="0"/>
        <v>Project Manager|Level 1</v>
      </c>
      <c r="D10" s="11">
        <v>80</v>
      </c>
    </row>
    <row r="11" spans="1:4">
      <c r="A11" s="10" t="s">
        <v>101</v>
      </c>
      <c r="B11" s="10" t="s">
        <v>99</v>
      </c>
      <c r="C11" s="10" t="str">
        <f t="shared" si="0"/>
        <v>Project Manager|Level 2</v>
      </c>
      <c r="D11" s="11">
        <v>100</v>
      </c>
    </row>
    <row r="12" spans="1:4">
      <c r="A12" s="10" t="s">
        <v>102</v>
      </c>
      <c r="B12" s="10" t="s">
        <v>98</v>
      </c>
      <c r="C12" s="10" t="str">
        <f t="shared" si="0"/>
        <v>QA Tester|Level 1</v>
      </c>
      <c r="D12" s="11">
        <v>80</v>
      </c>
    </row>
    <row r="13" spans="1:4">
      <c r="A13" s="10" t="s">
        <v>102</v>
      </c>
      <c r="B13" s="10" t="s">
        <v>99</v>
      </c>
      <c r="C13" s="10" t="str">
        <f t="shared" si="0"/>
        <v>QA Tester|Level 2</v>
      </c>
      <c r="D13" s="11">
        <v>120</v>
      </c>
    </row>
    <row r="14" spans="1:4">
      <c r="A14" s="10" t="s">
        <v>103</v>
      </c>
      <c r="B14" s="10" t="s">
        <v>98</v>
      </c>
      <c r="C14" s="10" t="str">
        <f t="shared" si="0"/>
        <v>Project Coordinator|Level 1</v>
      </c>
      <c r="D14" s="11">
        <v>0</v>
      </c>
    </row>
    <row r="15" spans="1:4">
      <c r="A15" s="10" t="s">
        <v>103</v>
      </c>
      <c r="B15" s="10" t="s">
        <v>99</v>
      </c>
      <c r="C15" s="10" t="str">
        <f t="shared" si="0"/>
        <v>Project Coordinator|Level 2</v>
      </c>
      <c r="D15" s="11">
        <v>0</v>
      </c>
    </row>
    <row r="17" spans="1:1">
      <c r="A17" s="12" t="s">
        <v>104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2"/>
  <sheetViews>
    <sheetView tabSelected="1" zoomScaleNormal="100" workbookViewId="0">
      <pane xSplit="4" ySplit="4" topLeftCell="G5" activePane="bottomRight" state="frozen"/>
      <selection pane="bottomRight" activeCell="K7" sqref="K7"/>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105</v>
      </c>
    </row>
    <row r="2" spans="1:13">
      <c r="A2" s="2" t="s">
        <v>106</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ht="25.5">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1.5</v>
      </c>
      <c r="L5" s="13">
        <f t="shared" ref="L5:L36" si="0">K5*J5</f>
        <v>150</v>
      </c>
      <c r="M5" s="7" t="s">
        <v>114</v>
      </c>
    </row>
    <row r="6" spans="1:13" ht="25.5">
      <c r="A6" s="15">
        <v>2</v>
      </c>
      <c r="B6" s="15"/>
      <c r="C6" s="15" t="s">
        <v>111</v>
      </c>
      <c r="D6" s="16" t="s">
        <v>115</v>
      </c>
      <c r="E6" s="15">
        <v>14</v>
      </c>
      <c r="F6" s="15" t="str">
        <f>IFERROR(INDEX(Categories!$B$5:$B$27,MATCH(E6,Categories!$A$5:$A$27,0)),"")</f>
        <v>Frontend</v>
      </c>
      <c r="G6" s="15" t="s">
        <v>116</v>
      </c>
      <c r="H6" s="15" t="s">
        <v>97</v>
      </c>
      <c r="I6" s="15" t="s">
        <v>98</v>
      </c>
      <c r="J6" s="17">
        <f>IFERROR(INDEX(Rates!$D$6:$D$15,MATCH(H6&amp;"|"&amp;I6,Rates!$C$6:$C$15,0)),0)</f>
        <v>100</v>
      </c>
      <c r="K6" s="18">
        <v>2.5</v>
      </c>
      <c r="L6" s="17">
        <f t="shared" si="0"/>
        <v>250</v>
      </c>
      <c r="M6" s="15" t="s">
        <v>117</v>
      </c>
    </row>
    <row r="7" spans="1:13" ht="25.5">
      <c r="A7" s="7">
        <v>3</v>
      </c>
      <c r="B7" s="7"/>
      <c r="C7" s="7" t="s">
        <v>111</v>
      </c>
      <c r="D7" s="8" t="s">
        <v>118</v>
      </c>
      <c r="E7" s="7">
        <v>15</v>
      </c>
      <c r="F7" s="7" t="str">
        <f>IFERROR(INDEX(Categories!$B$5:$B$27,MATCH(E7,Categories!$A$5:$A$27,0)),"")</f>
        <v>Integration</v>
      </c>
      <c r="G7" s="7" t="s">
        <v>119</v>
      </c>
      <c r="H7" s="7" t="s">
        <v>97</v>
      </c>
      <c r="I7" s="7" t="s">
        <v>99</v>
      </c>
      <c r="J7" s="13">
        <f>IFERROR(INDEX(Rates!$D$6:$D$15,MATCH(H7&amp;"|"&amp;I7,Rates!$C$6:$C$15,0)),0)</f>
        <v>120</v>
      </c>
      <c r="K7" s="14">
        <v>8</v>
      </c>
      <c r="L7" s="13">
        <f t="shared" si="0"/>
        <v>960</v>
      </c>
      <c r="M7" s="7" t="s">
        <v>120</v>
      </c>
    </row>
    <row r="8" spans="1:13" ht="25.5">
      <c r="A8" s="15">
        <v>4</v>
      </c>
      <c r="B8" s="15"/>
      <c r="C8" s="15" t="s">
        <v>111</v>
      </c>
      <c r="D8" s="16" t="s">
        <v>121</v>
      </c>
      <c r="E8" s="15">
        <v>15</v>
      </c>
      <c r="F8" s="15" t="str">
        <f>IFERROR(INDEX(Categories!$B$5:$B$27,MATCH(E8,Categories!$A$5:$A$27,0)),"")</f>
        <v>Integration</v>
      </c>
      <c r="G8" s="15" t="s">
        <v>122</v>
      </c>
      <c r="H8" s="15" t="s">
        <v>97</v>
      </c>
      <c r="I8" s="15" t="s">
        <v>98</v>
      </c>
      <c r="J8" s="17">
        <f>IFERROR(INDEX(Rates!$D$6:$D$15,MATCH(H8&amp;"|"&amp;I8,Rates!$C$6:$C$15,0)),0)</f>
        <v>100</v>
      </c>
      <c r="K8" s="18">
        <v>3</v>
      </c>
      <c r="L8" s="17">
        <f t="shared" si="0"/>
        <v>300</v>
      </c>
      <c r="M8" s="15" t="s">
        <v>123</v>
      </c>
    </row>
    <row r="9" spans="1:13" ht="25.5">
      <c r="A9" s="7">
        <v>5</v>
      </c>
      <c r="B9" s="7"/>
      <c r="C9" s="7" t="s">
        <v>111</v>
      </c>
      <c r="D9" s="8" t="s">
        <v>124</v>
      </c>
      <c r="E9" s="7">
        <v>14</v>
      </c>
      <c r="F9" s="7" t="str">
        <f>IFERROR(INDEX(Categories!$B$5:$B$27,MATCH(E9,Categories!$A$5:$A$27,0)),"")</f>
        <v>Frontend</v>
      </c>
      <c r="G9" s="7" t="s">
        <v>125</v>
      </c>
      <c r="H9" s="7" t="s">
        <v>97</v>
      </c>
      <c r="I9" s="7" t="s">
        <v>98</v>
      </c>
      <c r="J9" s="13">
        <f>IFERROR(INDEX(Rates!$D$6:$D$15,MATCH(H9&amp;"|"&amp;I9,Rates!$C$6:$C$15,0)),0)</f>
        <v>100</v>
      </c>
      <c r="K9" s="14">
        <v>1.5</v>
      </c>
      <c r="L9" s="13">
        <f t="shared" si="0"/>
        <v>150</v>
      </c>
      <c r="M9" s="7" t="s">
        <v>126</v>
      </c>
    </row>
    <row r="10" spans="1:13">
      <c r="A10" s="15">
        <v>6</v>
      </c>
      <c r="B10" s="15"/>
      <c r="C10" s="15" t="s">
        <v>111</v>
      </c>
      <c r="D10" s="16" t="s">
        <v>127</v>
      </c>
      <c r="E10" s="15">
        <v>14</v>
      </c>
      <c r="F10" s="15" t="str">
        <f>IFERROR(INDEX(Categories!$B$5:$B$27,MATCH(E10,Categories!$A$5:$A$27,0)),"")</f>
        <v>Frontend</v>
      </c>
      <c r="G10" s="15" t="s">
        <v>128</v>
      </c>
      <c r="H10" s="15" t="s">
        <v>97</v>
      </c>
      <c r="I10" s="15" t="s">
        <v>98</v>
      </c>
      <c r="J10" s="17">
        <f>IFERROR(INDEX(Rates!$D$6:$D$15,MATCH(H10&amp;"|"&amp;I10,Rates!$C$6:$C$15,0)),0)</f>
        <v>100</v>
      </c>
      <c r="K10" s="18">
        <v>1.5</v>
      </c>
      <c r="L10" s="17">
        <f t="shared" si="0"/>
        <v>150</v>
      </c>
      <c r="M10" s="15" t="s">
        <v>129</v>
      </c>
    </row>
    <row r="11" spans="1:13">
      <c r="A11" s="7">
        <v>7</v>
      </c>
      <c r="B11" s="7"/>
      <c r="C11" s="7" t="s">
        <v>130</v>
      </c>
      <c r="D11" s="8" t="s">
        <v>131</v>
      </c>
      <c r="E11" s="7">
        <v>14</v>
      </c>
      <c r="F11" s="7" t="str">
        <f>IFERROR(INDEX(Categories!$B$5:$B$27,MATCH(E11,Categories!$A$5:$A$27,0)),"")</f>
        <v>Frontend</v>
      </c>
      <c r="G11" s="7" t="s">
        <v>132</v>
      </c>
      <c r="H11" s="7" t="s">
        <v>97</v>
      </c>
      <c r="I11" s="7" t="s">
        <v>98</v>
      </c>
      <c r="J11" s="13">
        <f>IFERROR(INDEX(Rates!$D$6:$D$15,MATCH(H11&amp;"|"&amp;I11,Rates!$C$6:$C$15,0)),0)</f>
        <v>100</v>
      </c>
      <c r="K11" s="14">
        <v>4</v>
      </c>
      <c r="L11" s="13">
        <f t="shared" si="0"/>
        <v>400</v>
      </c>
      <c r="M11" s="7" t="s">
        <v>133</v>
      </c>
    </row>
    <row r="12" spans="1:13">
      <c r="A12" s="15">
        <v>8</v>
      </c>
      <c r="B12" s="15"/>
      <c r="C12" s="15" t="s">
        <v>130</v>
      </c>
      <c r="D12" s="16" t="s">
        <v>134</v>
      </c>
      <c r="E12" s="15">
        <v>14</v>
      </c>
      <c r="F12" s="15" t="str">
        <f>IFERROR(INDEX(Categories!$B$5:$B$27,MATCH(E12,Categories!$A$5:$A$27,0)),"")</f>
        <v>Frontend</v>
      </c>
      <c r="G12" s="15" t="s">
        <v>135</v>
      </c>
      <c r="H12" s="15" t="s">
        <v>97</v>
      </c>
      <c r="I12" s="15" t="s">
        <v>98</v>
      </c>
      <c r="J12" s="17">
        <f>IFERROR(INDEX(Rates!$D$6:$D$15,MATCH(H12&amp;"|"&amp;I12,Rates!$C$6:$C$15,0)),0)</f>
        <v>100</v>
      </c>
      <c r="K12" s="18">
        <v>3</v>
      </c>
      <c r="L12" s="17">
        <f t="shared" si="0"/>
        <v>300</v>
      </c>
      <c r="M12" s="15" t="s">
        <v>136</v>
      </c>
    </row>
    <row r="13" spans="1:13" ht="25.5">
      <c r="A13" s="7">
        <v>9</v>
      </c>
      <c r="B13" s="7"/>
      <c r="C13" s="7" t="s">
        <v>130</v>
      </c>
      <c r="D13" s="8" t="s">
        <v>137</v>
      </c>
      <c r="E13" s="7">
        <v>14</v>
      </c>
      <c r="F13" s="7" t="str">
        <f>IFERROR(INDEX(Categories!$B$5:$B$27,MATCH(E13,Categories!$A$5:$A$27,0)),"")</f>
        <v>Frontend</v>
      </c>
      <c r="G13" s="7" t="s">
        <v>138</v>
      </c>
      <c r="H13" s="7" t="s">
        <v>97</v>
      </c>
      <c r="I13" s="7" t="s">
        <v>98</v>
      </c>
      <c r="J13" s="13">
        <f>IFERROR(INDEX(Rates!$D$6:$D$15,MATCH(H13&amp;"|"&amp;I13,Rates!$C$6:$C$15,0)),0)</f>
        <v>100</v>
      </c>
      <c r="K13" s="14">
        <v>2</v>
      </c>
      <c r="L13" s="13">
        <f t="shared" si="0"/>
        <v>200</v>
      </c>
      <c r="M13" s="7" t="s">
        <v>139</v>
      </c>
    </row>
    <row r="14" spans="1:13" ht="25.5">
      <c r="A14" s="15">
        <v>10</v>
      </c>
      <c r="B14" s="15"/>
      <c r="C14" s="15" t="s">
        <v>130</v>
      </c>
      <c r="D14" s="16" t="s">
        <v>140</v>
      </c>
      <c r="E14" s="15">
        <v>14</v>
      </c>
      <c r="F14" s="15" t="str">
        <f>IFERROR(INDEX(Categories!$B$5:$B$27,MATCH(E14,Categories!$A$5:$A$27,0)),"")</f>
        <v>Frontend</v>
      </c>
      <c r="G14" s="15" t="s">
        <v>141</v>
      </c>
      <c r="H14" s="15" t="s">
        <v>97</v>
      </c>
      <c r="I14" s="15" t="s">
        <v>98</v>
      </c>
      <c r="J14" s="17">
        <f>IFERROR(INDEX(Rates!$D$6:$D$15,MATCH(H14&amp;"|"&amp;I14,Rates!$C$6:$C$15,0)),0)</f>
        <v>100</v>
      </c>
      <c r="K14" s="18">
        <v>2</v>
      </c>
      <c r="L14" s="17">
        <f t="shared" si="0"/>
        <v>200</v>
      </c>
      <c r="M14" s="15" t="s">
        <v>142</v>
      </c>
    </row>
    <row r="15" spans="1:13">
      <c r="A15" s="7">
        <v>11</v>
      </c>
      <c r="B15" s="7"/>
      <c r="C15" s="7" t="s">
        <v>111</v>
      </c>
      <c r="D15" s="8" t="s">
        <v>143</v>
      </c>
      <c r="E15" s="7">
        <v>14</v>
      </c>
      <c r="F15" s="7" t="str">
        <f>IFERROR(INDEX(Categories!$B$5:$B$27,MATCH(E15,Categories!$A$5:$A$27,0)),"")</f>
        <v>Frontend</v>
      </c>
      <c r="G15" s="7" t="s">
        <v>144</v>
      </c>
      <c r="H15" s="7" t="s">
        <v>97</v>
      </c>
      <c r="I15" s="7" t="s">
        <v>98</v>
      </c>
      <c r="J15" s="13">
        <f>IFERROR(INDEX(Rates!$D$6:$D$15,MATCH(H15&amp;"|"&amp;I15,Rates!$C$6:$C$15,0)),0)</f>
        <v>100</v>
      </c>
      <c r="K15" s="14">
        <v>4</v>
      </c>
      <c r="L15" s="13">
        <f t="shared" si="0"/>
        <v>400</v>
      </c>
      <c r="M15" s="7" t="s">
        <v>145</v>
      </c>
    </row>
    <row r="16" spans="1:13" ht="25.5">
      <c r="A16" s="15">
        <v>12</v>
      </c>
      <c r="B16" s="15"/>
      <c r="C16" s="15" t="s">
        <v>111</v>
      </c>
      <c r="D16" s="16" t="s">
        <v>146</v>
      </c>
      <c r="E16" s="15">
        <v>14</v>
      </c>
      <c r="F16" s="15" t="str">
        <f>IFERROR(INDEX(Categories!$B$5:$B$27,MATCH(E16,Categories!$A$5:$A$27,0)),"")</f>
        <v>Frontend</v>
      </c>
      <c r="G16" s="15" t="s">
        <v>147</v>
      </c>
      <c r="H16" s="15" t="s">
        <v>97</v>
      </c>
      <c r="I16" s="15" t="s">
        <v>98</v>
      </c>
      <c r="J16" s="17">
        <f>IFERROR(INDEX(Rates!$D$6:$D$15,MATCH(H16&amp;"|"&amp;I16,Rates!$C$6:$C$15,0)),0)</f>
        <v>100</v>
      </c>
      <c r="K16" s="18">
        <v>2</v>
      </c>
      <c r="L16" s="17">
        <f t="shared" si="0"/>
        <v>200</v>
      </c>
      <c r="M16" s="15" t="s">
        <v>148</v>
      </c>
    </row>
    <row r="17" spans="1:13">
      <c r="A17" s="7">
        <v>13</v>
      </c>
      <c r="B17" s="7"/>
      <c r="C17" s="7" t="s">
        <v>111</v>
      </c>
      <c r="D17" s="8" t="s">
        <v>149</v>
      </c>
      <c r="E17" s="7">
        <v>14</v>
      </c>
      <c r="F17" s="7" t="str">
        <f>IFERROR(INDEX(Categories!$B$5:$B$27,MATCH(E17,Categories!$A$5:$A$27,0)),"")</f>
        <v>Frontend</v>
      </c>
      <c r="G17" s="7" t="s">
        <v>150</v>
      </c>
      <c r="H17" s="7" t="s">
        <v>97</v>
      </c>
      <c r="I17" s="7" t="s">
        <v>98</v>
      </c>
      <c r="J17" s="13">
        <f>IFERROR(INDEX(Rates!$D$6:$D$15,MATCH(H17&amp;"|"&amp;I17,Rates!$C$6:$C$15,0)),0)</f>
        <v>100</v>
      </c>
      <c r="K17" s="14">
        <v>1</v>
      </c>
      <c r="L17" s="13">
        <f t="shared" si="0"/>
        <v>100</v>
      </c>
      <c r="M17" s="7" t="s">
        <v>151</v>
      </c>
    </row>
    <row r="18" spans="1:13" ht="25.5">
      <c r="A18" s="15">
        <v>14</v>
      </c>
      <c r="B18" s="15"/>
      <c r="C18" s="15" t="s">
        <v>152</v>
      </c>
      <c r="D18" s="16" t="s">
        <v>153</v>
      </c>
      <c r="E18" s="15">
        <v>15</v>
      </c>
      <c r="F18" s="15" t="str">
        <f>IFERROR(INDEX(Categories!$B$5:$B$27,MATCH(E18,Categories!$A$5:$A$27,0)),"")</f>
        <v>Integration</v>
      </c>
      <c r="G18" s="15" t="s">
        <v>154</v>
      </c>
      <c r="H18" s="15" t="s">
        <v>97</v>
      </c>
      <c r="I18" s="15" t="s">
        <v>99</v>
      </c>
      <c r="J18" s="17">
        <f>IFERROR(INDEX(Rates!$D$6:$D$15,MATCH(H18&amp;"|"&amp;I18,Rates!$C$6:$C$15,0)),0)</f>
        <v>120</v>
      </c>
      <c r="K18" s="18">
        <v>5</v>
      </c>
      <c r="L18" s="17">
        <f t="shared" si="0"/>
        <v>600</v>
      </c>
      <c r="M18" s="15" t="s">
        <v>155</v>
      </c>
    </row>
    <row r="19" spans="1:13" ht="25.5">
      <c r="A19" s="7">
        <v>15</v>
      </c>
      <c r="B19" s="7"/>
      <c r="C19" s="7" t="s">
        <v>152</v>
      </c>
      <c r="D19" s="8" t="s">
        <v>156</v>
      </c>
      <c r="E19" s="7">
        <v>14</v>
      </c>
      <c r="F19" s="7" t="str">
        <f>IFERROR(INDEX(Categories!$B$5:$B$27,MATCH(E19,Categories!$A$5:$A$27,0)),"")</f>
        <v>Frontend</v>
      </c>
      <c r="G19" s="7" t="s">
        <v>157</v>
      </c>
      <c r="H19" s="7" t="s">
        <v>97</v>
      </c>
      <c r="I19" s="7" t="s">
        <v>98</v>
      </c>
      <c r="J19" s="13">
        <f>IFERROR(INDEX(Rates!$D$6:$D$15,MATCH(H19&amp;"|"&amp;I19,Rates!$C$6:$C$15,0)),0)</f>
        <v>100</v>
      </c>
      <c r="K19" s="14">
        <v>2</v>
      </c>
      <c r="L19" s="13">
        <f t="shared" si="0"/>
        <v>200</v>
      </c>
      <c r="M19" s="7"/>
    </row>
    <row r="20" spans="1:13" ht="25.5">
      <c r="A20" s="15">
        <v>16</v>
      </c>
      <c r="B20" s="15"/>
      <c r="C20" s="15" t="s">
        <v>158</v>
      </c>
      <c r="D20" s="16" t="s">
        <v>159</v>
      </c>
      <c r="E20" s="15">
        <v>14</v>
      </c>
      <c r="F20" s="15" t="str">
        <f>IFERROR(INDEX(Categories!$B$5:$B$27,MATCH(E20,Categories!$A$5:$A$27,0)),"")</f>
        <v>Frontend</v>
      </c>
      <c r="G20" s="15" t="s">
        <v>160</v>
      </c>
      <c r="H20" s="15" t="s">
        <v>97</v>
      </c>
      <c r="I20" s="15" t="s">
        <v>99</v>
      </c>
      <c r="J20" s="17">
        <f>IFERROR(INDEX(Rates!$D$6:$D$15,MATCH(H20&amp;"|"&amp;I20,Rates!$C$6:$C$15,0)),0)</f>
        <v>120</v>
      </c>
      <c r="K20" s="18">
        <v>8</v>
      </c>
      <c r="L20" s="17">
        <f t="shared" si="0"/>
        <v>960</v>
      </c>
      <c r="M20" s="15" t="s">
        <v>161</v>
      </c>
    </row>
    <row r="21" spans="1:13" ht="25.5">
      <c r="A21" s="7">
        <v>17</v>
      </c>
      <c r="B21" s="7"/>
      <c r="C21" s="7" t="s">
        <v>158</v>
      </c>
      <c r="D21" s="8" t="s">
        <v>162</v>
      </c>
      <c r="E21" s="7">
        <v>14</v>
      </c>
      <c r="F21" s="7" t="str">
        <f>IFERROR(INDEX(Categories!$B$5:$B$27,MATCH(E21,Categories!$A$5:$A$27,0)),"")</f>
        <v>Frontend</v>
      </c>
      <c r="G21" s="7" t="s">
        <v>163</v>
      </c>
      <c r="H21" s="7" t="s">
        <v>97</v>
      </c>
      <c r="I21" s="7" t="s">
        <v>99</v>
      </c>
      <c r="J21" s="13">
        <f>IFERROR(INDEX(Rates!$D$6:$D$15,MATCH(H21&amp;"|"&amp;I21,Rates!$C$6:$C$15,0)),0)</f>
        <v>120</v>
      </c>
      <c r="K21" s="14">
        <v>8</v>
      </c>
      <c r="L21" s="13">
        <f t="shared" si="0"/>
        <v>960</v>
      </c>
      <c r="M21" s="7" t="s">
        <v>164</v>
      </c>
    </row>
    <row r="22" spans="1:13">
      <c r="A22" s="15">
        <v>18</v>
      </c>
      <c r="B22" s="15"/>
      <c r="C22" s="15" t="s">
        <v>158</v>
      </c>
      <c r="D22" s="16" t="s">
        <v>165</v>
      </c>
      <c r="E22" s="15">
        <v>14</v>
      </c>
      <c r="F22" s="15" t="str">
        <f>IFERROR(INDEX(Categories!$B$5:$B$27,MATCH(E22,Categories!$A$5:$A$27,0)),"")</f>
        <v>Frontend</v>
      </c>
      <c r="G22" s="15" t="s">
        <v>166</v>
      </c>
      <c r="H22" s="15" t="s">
        <v>97</v>
      </c>
      <c r="I22" s="15" t="s">
        <v>99</v>
      </c>
      <c r="J22" s="17">
        <f>IFERROR(INDEX(Rates!$D$6:$D$15,MATCH(H22&amp;"|"&amp;I22,Rates!$C$6:$C$15,0)),0)</f>
        <v>120</v>
      </c>
      <c r="K22" s="18">
        <v>10</v>
      </c>
      <c r="L22" s="17">
        <f t="shared" si="0"/>
        <v>1200</v>
      </c>
      <c r="M22" s="15" t="s">
        <v>167</v>
      </c>
    </row>
    <row r="23" spans="1:13" ht="25.5">
      <c r="A23" s="7">
        <v>19</v>
      </c>
      <c r="B23" s="7"/>
      <c r="C23" s="7" t="s">
        <v>158</v>
      </c>
      <c r="D23" s="8" t="s">
        <v>168</v>
      </c>
      <c r="E23" s="7">
        <v>15</v>
      </c>
      <c r="F23" s="7" t="str">
        <f>IFERROR(INDEX(Categories!$B$5:$B$27,MATCH(E23,Categories!$A$5:$A$27,0)),"")</f>
        <v>Integration</v>
      </c>
      <c r="G23" s="7" t="s">
        <v>169</v>
      </c>
      <c r="H23" s="7" t="s">
        <v>97</v>
      </c>
      <c r="I23" s="7" t="s">
        <v>99</v>
      </c>
      <c r="J23" s="13">
        <f>IFERROR(INDEX(Rates!$D$6:$D$15,MATCH(H23&amp;"|"&amp;I23,Rates!$C$6:$C$15,0)),0)</f>
        <v>120</v>
      </c>
      <c r="K23" s="14">
        <v>12</v>
      </c>
      <c r="L23" s="13">
        <f t="shared" si="0"/>
        <v>1440</v>
      </c>
      <c r="M23" s="7" t="s">
        <v>170</v>
      </c>
    </row>
    <row r="24" spans="1:13" ht="25.5">
      <c r="A24" s="15">
        <v>20</v>
      </c>
      <c r="B24" s="15"/>
      <c r="C24" s="15" t="s">
        <v>158</v>
      </c>
      <c r="D24" s="16" t="s">
        <v>171</v>
      </c>
      <c r="E24" s="15">
        <v>14</v>
      </c>
      <c r="F24" s="15" t="str">
        <f>IFERROR(INDEX(Categories!$B$5:$B$27,MATCH(E24,Categories!$A$5:$A$27,0)),"")</f>
        <v>Frontend</v>
      </c>
      <c r="G24" s="15" t="s">
        <v>172</v>
      </c>
      <c r="H24" s="15" t="s">
        <v>97</v>
      </c>
      <c r="I24" s="15" t="s">
        <v>99</v>
      </c>
      <c r="J24" s="17">
        <f>IFERROR(INDEX(Rates!$D$6:$D$15,MATCH(H24&amp;"|"&amp;I24,Rates!$C$6:$C$15,0)),0)</f>
        <v>120</v>
      </c>
      <c r="K24" s="18">
        <v>12</v>
      </c>
      <c r="L24" s="17">
        <f t="shared" si="0"/>
        <v>1440</v>
      </c>
      <c r="M24" s="15" t="s">
        <v>173</v>
      </c>
    </row>
    <row r="25" spans="1:13" ht="25.5">
      <c r="A25" s="7">
        <v>21</v>
      </c>
      <c r="B25" s="7"/>
      <c r="C25" s="7" t="s">
        <v>174</v>
      </c>
      <c r="D25" s="8" t="s">
        <v>175</v>
      </c>
      <c r="E25" s="7">
        <v>14</v>
      </c>
      <c r="F25" s="7" t="str">
        <f>IFERROR(INDEX(Categories!$B$5:$B$27,MATCH(E25,Categories!$A$5:$A$27,0)),"")</f>
        <v>Frontend</v>
      </c>
      <c r="G25" s="7" t="s">
        <v>176</v>
      </c>
      <c r="H25" s="7" t="s">
        <v>97</v>
      </c>
      <c r="I25" s="7" t="s">
        <v>98</v>
      </c>
      <c r="J25" s="13">
        <f>IFERROR(INDEX(Rates!$D$6:$D$15,MATCH(H25&amp;"|"&amp;I25,Rates!$C$6:$C$15,0)),0)</f>
        <v>100</v>
      </c>
      <c r="K25" s="14">
        <v>8</v>
      </c>
      <c r="L25" s="13">
        <f t="shared" si="0"/>
        <v>800</v>
      </c>
      <c r="M25" s="7" t="s">
        <v>177</v>
      </c>
    </row>
    <row r="26" spans="1:13" ht="51">
      <c r="A26" s="15">
        <v>22</v>
      </c>
      <c r="B26" s="15"/>
      <c r="C26" s="15" t="s">
        <v>178</v>
      </c>
      <c r="D26" s="16" t="s">
        <v>179</v>
      </c>
      <c r="E26" s="15">
        <v>14</v>
      </c>
      <c r="F26" s="15" t="str">
        <f>IFERROR(INDEX(Categories!$B$5:$B$27,MATCH(E26,Categories!$A$5:$A$27,0)),"")</f>
        <v>Frontend</v>
      </c>
      <c r="G26" s="15" t="s">
        <v>180</v>
      </c>
      <c r="H26" s="15" t="s">
        <v>97</v>
      </c>
      <c r="I26" s="15" t="s">
        <v>98</v>
      </c>
      <c r="J26" s="17">
        <f>IFERROR(INDEX(Rates!$D$6:$D$15,MATCH(H26&amp;"|"&amp;I26,Rates!$C$6:$C$15,0)),0)</f>
        <v>100</v>
      </c>
      <c r="K26" s="18">
        <v>8</v>
      </c>
      <c r="L26" s="17">
        <f t="shared" si="0"/>
        <v>800</v>
      </c>
      <c r="M26" s="15" t="s">
        <v>181</v>
      </c>
    </row>
    <row r="27" spans="1:13" ht="38.25">
      <c r="A27" s="7">
        <v>23</v>
      </c>
      <c r="B27" s="7"/>
      <c r="C27" s="7" t="s">
        <v>182</v>
      </c>
      <c r="D27" s="8" t="s">
        <v>183</v>
      </c>
      <c r="E27" s="7">
        <v>14</v>
      </c>
      <c r="F27" s="7" t="str">
        <f>IFERROR(INDEX(Categories!$B$5:$B$27,MATCH(E27,Categories!$A$5:$A$27,0)),"")</f>
        <v>Frontend</v>
      </c>
      <c r="G27" s="7" t="s">
        <v>184</v>
      </c>
      <c r="H27" s="7" t="s">
        <v>97</v>
      </c>
      <c r="I27" s="7" t="s">
        <v>98</v>
      </c>
      <c r="J27" s="13">
        <f>IFERROR(INDEX(Rates!$D$6:$D$15,MATCH(H27&amp;"|"&amp;I27,Rates!$C$6:$C$15,0)),0)</f>
        <v>100</v>
      </c>
      <c r="K27" s="14">
        <v>6</v>
      </c>
      <c r="L27" s="13">
        <f t="shared" si="0"/>
        <v>600</v>
      </c>
      <c r="M27" s="7" t="s">
        <v>185</v>
      </c>
    </row>
    <row r="28" spans="1:13" ht="38.25">
      <c r="A28" s="15">
        <v>24</v>
      </c>
      <c r="B28" s="15"/>
      <c r="C28" s="15" t="s">
        <v>186</v>
      </c>
      <c r="D28" s="16" t="s">
        <v>187</v>
      </c>
      <c r="E28" s="15">
        <v>14</v>
      </c>
      <c r="F28" s="15" t="str">
        <f>IFERROR(INDEX(Categories!$B$5:$B$27,MATCH(E28,Categories!$A$5:$A$27,0)),"")</f>
        <v>Frontend</v>
      </c>
      <c r="G28" s="15" t="s">
        <v>188</v>
      </c>
      <c r="H28" s="15" t="s">
        <v>97</v>
      </c>
      <c r="I28" s="15" t="s">
        <v>98</v>
      </c>
      <c r="J28" s="17">
        <f>IFERROR(INDEX(Rates!$D$6:$D$15,MATCH(H28&amp;"|"&amp;I28,Rates!$C$6:$C$15,0)),0)</f>
        <v>100</v>
      </c>
      <c r="K28" s="18">
        <v>6</v>
      </c>
      <c r="L28" s="17">
        <f t="shared" si="0"/>
        <v>600</v>
      </c>
      <c r="M28" s="15" t="s">
        <v>189</v>
      </c>
    </row>
    <row r="29" spans="1:13" ht="25.5">
      <c r="A29" s="7">
        <v>25</v>
      </c>
      <c r="B29" s="7"/>
      <c r="C29" s="7" t="s">
        <v>111</v>
      </c>
      <c r="D29" s="8" t="s">
        <v>190</v>
      </c>
      <c r="E29" s="7">
        <v>18</v>
      </c>
      <c r="F29" s="7" t="str">
        <f>IFERROR(INDEX(Categories!$B$5:$B$27,MATCH(E29,Categories!$A$5:$A$27,0)),"")</f>
        <v>Performance &amp; Security</v>
      </c>
      <c r="G29" s="7" t="s">
        <v>191</v>
      </c>
      <c r="H29" s="7" t="s">
        <v>97</v>
      </c>
      <c r="I29" s="7" t="s">
        <v>98</v>
      </c>
      <c r="J29" s="13">
        <f>IFERROR(INDEX(Rates!$D$6:$D$15,MATCH(H29&amp;"|"&amp;I29,Rates!$C$6:$C$15,0)),0)</f>
        <v>100</v>
      </c>
      <c r="K29" s="14">
        <v>1</v>
      </c>
      <c r="L29" s="13">
        <f t="shared" si="0"/>
        <v>100</v>
      </c>
      <c r="M29" s="7" t="s">
        <v>192</v>
      </c>
    </row>
    <row r="30" spans="1:13" ht="25.5">
      <c r="A30" s="15">
        <v>26</v>
      </c>
      <c r="B30" s="15"/>
      <c r="C30" s="15" t="s">
        <v>193</v>
      </c>
      <c r="D30" s="16" t="s">
        <v>194</v>
      </c>
      <c r="E30" s="15">
        <v>14</v>
      </c>
      <c r="F30" s="15" t="str">
        <f>IFERROR(INDEX(Categories!$B$5:$B$27,MATCH(E30,Categories!$A$5:$A$27,0)),"")</f>
        <v>Frontend</v>
      </c>
      <c r="G30" s="15" t="s">
        <v>195</v>
      </c>
      <c r="H30" s="15" t="s">
        <v>97</v>
      </c>
      <c r="I30" s="15" t="s">
        <v>99</v>
      </c>
      <c r="J30" s="17">
        <f>IFERROR(INDEX(Rates!$D$6:$D$15,MATCH(H30&amp;"|"&amp;I30,Rates!$C$6:$C$15,0)),0)</f>
        <v>120</v>
      </c>
      <c r="K30" s="18">
        <v>15</v>
      </c>
      <c r="L30" s="17">
        <f t="shared" si="0"/>
        <v>1800</v>
      </c>
      <c r="M30" s="15" t="s">
        <v>196</v>
      </c>
    </row>
    <row r="31" spans="1:13" ht="25.5">
      <c r="A31" s="7">
        <v>27</v>
      </c>
      <c r="B31" s="7"/>
      <c r="C31" s="7" t="s">
        <v>193</v>
      </c>
      <c r="D31" s="8" t="s">
        <v>197</v>
      </c>
      <c r="E31" s="7">
        <v>14</v>
      </c>
      <c r="F31" s="7" t="str">
        <f>IFERROR(INDEX(Categories!$B$5:$B$27,MATCH(E31,Categories!$A$5:$A$27,0)),"")</f>
        <v>Frontend</v>
      </c>
      <c r="G31" s="7" t="s">
        <v>198</v>
      </c>
      <c r="H31" s="7" t="s">
        <v>97</v>
      </c>
      <c r="I31" s="7" t="s">
        <v>99</v>
      </c>
      <c r="J31" s="13">
        <f>IFERROR(INDEX(Rates!$D$6:$D$15,MATCH(H31&amp;"|"&amp;I31,Rates!$C$6:$C$15,0)),0)</f>
        <v>120</v>
      </c>
      <c r="K31" s="14">
        <v>18</v>
      </c>
      <c r="L31" s="13">
        <f t="shared" si="0"/>
        <v>2160</v>
      </c>
      <c r="M31" s="7" t="s">
        <v>199</v>
      </c>
    </row>
    <row r="32" spans="1:13" ht="25.5">
      <c r="A32" s="15">
        <v>28</v>
      </c>
      <c r="B32" s="15"/>
      <c r="C32" s="15" t="s">
        <v>193</v>
      </c>
      <c r="D32" s="16" t="s">
        <v>200</v>
      </c>
      <c r="E32" s="15">
        <v>15</v>
      </c>
      <c r="F32" s="15" t="str">
        <f>IFERROR(INDEX(Categories!$B$5:$B$27,MATCH(E32,Categories!$A$5:$A$27,0)),"")</f>
        <v>Integration</v>
      </c>
      <c r="G32" s="15" t="s">
        <v>201</v>
      </c>
      <c r="H32" s="15" t="s">
        <v>97</v>
      </c>
      <c r="I32" s="15" t="s">
        <v>99</v>
      </c>
      <c r="J32" s="17">
        <f>IFERROR(INDEX(Rates!$D$6:$D$15,MATCH(H32&amp;"|"&amp;I32,Rates!$C$6:$C$15,0)),0)</f>
        <v>120</v>
      </c>
      <c r="K32" s="18">
        <v>15</v>
      </c>
      <c r="L32" s="17">
        <f t="shared" si="0"/>
        <v>1800</v>
      </c>
      <c r="M32" s="15" t="s">
        <v>202</v>
      </c>
    </row>
    <row r="33" spans="1:13" ht="25.5">
      <c r="A33" s="7">
        <v>29</v>
      </c>
      <c r="B33" s="7"/>
      <c r="C33" s="7" t="s">
        <v>193</v>
      </c>
      <c r="D33" s="8" t="s">
        <v>203</v>
      </c>
      <c r="E33" s="7">
        <v>5</v>
      </c>
      <c r="F33" s="7" t="str">
        <f>IFERROR(INDEX(Categories!$B$5:$B$27,MATCH(E33,Categories!$A$5:$A$27,0)),"")</f>
        <v>Custom Tools</v>
      </c>
      <c r="G33" s="7" t="s">
        <v>204</v>
      </c>
      <c r="H33" s="7" t="s">
        <v>97</v>
      </c>
      <c r="I33" s="7" t="s">
        <v>99</v>
      </c>
      <c r="J33" s="13">
        <f>IFERROR(INDEX(Rates!$D$6:$D$15,MATCH(H33&amp;"|"&amp;I33,Rates!$C$6:$C$15,0)),0)</f>
        <v>120</v>
      </c>
      <c r="K33" s="14">
        <v>18</v>
      </c>
      <c r="L33" s="13">
        <f t="shared" si="0"/>
        <v>2160</v>
      </c>
      <c r="M33" s="7" t="s">
        <v>205</v>
      </c>
    </row>
    <row r="34" spans="1:13" ht="25.5">
      <c r="A34" s="15">
        <v>30</v>
      </c>
      <c r="B34" s="15"/>
      <c r="C34" s="15" t="s">
        <v>206</v>
      </c>
      <c r="D34" s="16" t="s">
        <v>207</v>
      </c>
      <c r="E34" s="15">
        <v>14</v>
      </c>
      <c r="F34" s="15" t="str">
        <f>IFERROR(INDEX(Categories!$B$5:$B$27,MATCH(E34,Categories!$A$5:$A$27,0)),"")</f>
        <v>Frontend</v>
      </c>
      <c r="G34" s="15" t="s">
        <v>208</v>
      </c>
      <c r="H34" s="15" t="s">
        <v>100</v>
      </c>
      <c r="I34" s="15" t="s">
        <v>98</v>
      </c>
      <c r="J34" s="17">
        <f>IFERROR(INDEX(Rates!$D$6:$D$15,MATCH(H34&amp;"|"&amp;I34,Rates!$C$6:$C$15,0)),0)</f>
        <v>100</v>
      </c>
      <c r="K34" s="18">
        <v>6</v>
      </c>
      <c r="L34" s="17">
        <f t="shared" si="0"/>
        <v>600</v>
      </c>
      <c r="M34" s="15" t="s">
        <v>209</v>
      </c>
    </row>
    <row r="35" spans="1:13">
      <c r="A35" s="7">
        <v>31</v>
      </c>
      <c r="B35" s="7"/>
      <c r="C35" s="7" t="s">
        <v>206</v>
      </c>
      <c r="D35" s="8" t="s">
        <v>210</v>
      </c>
      <c r="E35" s="7">
        <v>14</v>
      </c>
      <c r="F35" s="7" t="str">
        <f>IFERROR(INDEX(Categories!$B$5:$B$27,MATCH(E35,Categories!$A$5:$A$27,0)),"")</f>
        <v>Frontend</v>
      </c>
      <c r="G35" s="7" t="s">
        <v>211</v>
      </c>
      <c r="H35" s="7" t="s">
        <v>97</v>
      </c>
      <c r="I35" s="7" t="s">
        <v>99</v>
      </c>
      <c r="J35" s="13">
        <f>IFERROR(INDEX(Rates!$D$6:$D$15,MATCH(H35&amp;"|"&amp;I35,Rates!$C$6:$C$15,0)),0)</f>
        <v>120</v>
      </c>
      <c r="K35" s="14">
        <v>5</v>
      </c>
      <c r="L35" s="13">
        <f t="shared" si="0"/>
        <v>600</v>
      </c>
      <c r="M35" s="7" t="s">
        <v>212</v>
      </c>
    </row>
    <row r="36" spans="1:13" ht="25.5">
      <c r="A36" s="15">
        <v>32</v>
      </c>
      <c r="B36" s="15"/>
      <c r="C36" s="15" t="s">
        <v>206</v>
      </c>
      <c r="D36" s="16" t="s">
        <v>213</v>
      </c>
      <c r="E36" s="15">
        <v>14</v>
      </c>
      <c r="F36" s="15" t="str">
        <f>IFERROR(INDEX(Categories!$B$5:$B$27,MATCH(E36,Categories!$A$5:$A$27,0)),"")</f>
        <v>Frontend</v>
      </c>
      <c r="G36" s="15" t="s">
        <v>214</v>
      </c>
      <c r="H36" s="15" t="s">
        <v>97</v>
      </c>
      <c r="I36" s="15" t="s">
        <v>98</v>
      </c>
      <c r="J36" s="17">
        <f>IFERROR(INDEX(Rates!$D$6:$D$15,MATCH(H36&amp;"|"&amp;I36,Rates!$C$6:$C$15,0)),0)</f>
        <v>100</v>
      </c>
      <c r="K36" s="18">
        <v>4</v>
      </c>
      <c r="L36" s="17">
        <f t="shared" si="0"/>
        <v>400</v>
      </c>
      <c r="M36" s="15" t="s">
        <v>215</v>
      </c>
    </row>
    <row r="37" spans="1:13">
      <c r="A37" s="7">
        <v>33</v>
      </c>
      <c r="B37" s="7"/>
      <c r="C37" s="7" t="s">
        <v>206</v>
      </c>
      <c r="D37" s="8" t="s">
        <v>216</v>
      </c>
      <c r="E37" s="7">
        <v>14</v>
      </c>
      <c r="F37" s="7" t="str">
        <f>IFERROR(INDEX(Categories!$B$5:$B$27,MATCH(E37,Categories!$A$5:$A$27,0)),"")</f>
        <v>Frontend</v>
      </c>
      <c r="G37" s="7" t="s">
        <v>217</v>
      </c>
      <c r="H37" s="7" t="s">
        <v>97</v>
      </c>
      <c r="I37" s="7" t="s">
        <v>99</v>
      </c>
      <c r="J37" s="13">
        <f>IFERROR(INDEX(Rates!$D$6:$D$15,MATCH(H37&amp;"|"&amp;I37,Rates!$C$6:$C$15,0)),0)</f>
        <v>120</v>
      </c>
      <c r="K37" s="14">
        <v>5</v>
      </c>
      <c r="L37" s="13">
        <f t="shared" ref="L37:L68" si="1">K37*J37</f>
        <v>600</v>
      </c>
      <c r="M37" s="7" t="s">
        <v>218</v>
      </c>
    </row>
    <row r="38" spans="1:13">
      <c r="A38" s="15">
        <v>34</v>
      </c>
      <c r="B38" s="15"/>
      <c r="C38" s="15" t="s">
        <v>206</v>
      </c>
      <c r="D38" s="16" t="s">
        <v>219</v>
      </c>
      <c r="E38" s="15">
        <v>14</v>
      </c>
      <c r="F38" s="15" t="str">
        <f>IFERROR(INDEX(Categories!$B$5:$B$27,MATCH(E38,Categories!$A$5:$A$27,0)),"")</f>
        <v>Frontend</v>
      </c>
      <c r="G38" s="15" t="s">
        <v>220</v>
      </c>
      <c r="H38" s="15" t="s">
        <v>97</v>
      </c>
      <c r="I38" s="15" t="s">
        <v>98</v>
      </c>
      <c r="J38" s="17">
        <f>IFERROR(INDEX(Rates!$D$6:$D$15,MATCH(H38&amp;"|"&amp;I38,Rates!$C$6:$C$15,0)),0)</f>
        <v>100</v>
      </c>
      <c r="K38" s="18">
        <v>5</v>
      </c>
      <c r="L38" s="17">
        <f t="shared" si="1"/>
        <v>500</v>
      </c>
      <c r="M38" s="15" t="s">
        <v>221</v>
      </c>
    </row>
    <row r="39" spans="1:13" ht="25.5">
      <c r="A39" s="7">
        <v>35</v>
      </c>
      <c r="B39" s="7"/>
      <c r="C39" s="7" t="s">
        <v>130</v>
      </c>
      <c r="D39" s="8" t="s">
        <v>222</v>
      </c>
      <c r="E39" s="7">
        <v>14</v>
      </c>
      <c r="F39" s="7" t="str">
        <f>IFERROR(INDEX(Categories!$B$5:$B$27,MATCH(E39,Categories!$A$5:$A$27,0)),"")</f>
        <v>Frontend</v>
      </c>
      <c r="G39" s="7" t="s">
        <v>223</v>
      </c>
      <c r="H39" s="7" t="s">
        <v>97</v>
      </c>
      <c r="I39" s="7" t="s">
        <v>98</v>
      </c>
      <c r="J39" s="13">
        <f>IFERROR(INDEX(Rates!$D$6:$D$15,MATCH(H39&amp;"|"&amp;I39,Rates!$C$6:$C$15,0)),0)</f>
        <v>100</v>
      </c>
      <c r="K39" s="14">
        <v>2</v>
      </c>
      <c r="L39" s="13">
        <f t="shared" si="1"/>
        <v>200</v>
      </c>
      <c r="M39" s="7" t="s">
        <v>224</v>
      </c>
    </row>
    <row r="40" spans="1:13" ht="25.5">
      <c r="A40" s="15">
        <v>36</v>
      </c>
      <c r="B40" s="15"/>
      <c r="C40" s="15" t="s">
        <v>225</v>
      </c>
      <c r="D40" s="16" t="s">
        <v>226</v>
      </c>
      <c r="E40" s="15">
        <v>15</v>
      </c>
      <c r="F40" s="15" t="str">
        <f>IFERROR(INDEX(Categories!$B$5:$B$27,MATCH(E40,Categories!$A$5:$A$27,0)),"")</f>
        <v>Integration</v>
      </c>
      <c r="G40" s="15" t="s">
        <v>227</v>
      </c>
      <c r="H40" s="15" t="s">
        <v>97</v>
      </c>
      <c r="I40" s="15" t="s">
        <v>98</v>
      </c>
      <c r="J40" s="17">
        <f>IFERROR(INDEX(Rates!$D$6:$D$15,MATCH(H40&amp;"|"&amp;I40,Rates!$C$6:$C$15,0)),0)</f>
        <v>100</v>
      </c>
      <c r="K40" s="18">
        <v>3</v>
      </c>
      <c r="L40" s="17">
        <f t="shared" si="1"/>
        <v>300</v>
      </c>
      <c r="M40" s="15" t="s">
        <v>228</v>
      </c>
    </row>
    <row r="41" spans="1:13" ht="25.5">
      <c r="A41" s="7">
        <v>37</v>
      </c>
      <c r="B41" s="7"/>
      <c r="C41" s="7" t="s">
        <v>193</v>
      </c>
      <c r="D41" s="8" t="s">
        <v>229</v>
      </c>
      <c r="E41" s="7">
        <v>14</v>
      </c>
      <c r="F41" s="7" t="str">
        <f>IFERROR(INDEX(Categories!$B$5:$B$27,MATCH(E41,Categories!$A$5:$A$27,0)),"")</f>
        <v>Frontend</v>
      </c>
      <c r="G41" s="7" t="s">
        <v>230</v>
      </c>
      <c r="H41" s="7" t="s">
        <v>97</v>
      </c>
      <c r="I41" s="7" t="s">
        <v>99</v>
      </c>
      <c r="J41" s="13">
        <f>IFERROR(INDEX(Rates!$D$6:$D$15,MATCH(H41&amp;"|"&amp;I41,Rates!$C$6:$C$15,0)),0)</f>
        <v>120</v>
      </c>
      <c r="K41" s="14">
        <v>20</v>
      </c>
      <c r="L41" s="13">
        <f t="shared" si="1"/>
        <v>2400</v>
      </c>
      <c r="M41" s="7" t="s">
        <v>231</v>
      </c>
    </row>
    <row r="42" spans="1:13" ht="38.25">
      <c r="A42" s="15">
        <v>38</v>
      </c>
      <c r="B42" s="15"/>
      <c r="C42" s="15" t="s">
        <v>232</v>
      </c>
      <c r="D42" s="16" t="s">
        <v>233</v>
      </c>
      <c r="E42" s="15">
        <v>14</v>
      </c>
      <c r="F42" s="15" t="str">
        <f>IFERROR(INDEX(Categories!$B$5:$B$27,MATCH(E42,Categories!$A$5:$A$27,0)),"")</f>
        <v>Frontend</v>
      </c>
      <c r="G42" s="15" t="s">
        <v>234</v>
      </c>
      <c r="H42" s="15" t="s">
        <v>97</v>
      </c>
      <c r="I42" s="15" t="s">
        <v>98</v>
      </c>
      <c r="J42" s="17">
        <f>IFERROR(INDEX(Rates!$D$6:$D$15,MATCH(H42&amp;"|"&amp;I42,Rates!$C$6:$C$15,0)),0)</f>
        <v>100</v>
      </c>
      <c r="K42" s="18">
        <v>3</v>
      </c>
      <c r="L42" s="17">
        <f t="shared" si="1"/>
        <v>300</v>
      </c>
      <c r="M42" s="15" t="s">
        <v>235</v>
      </c>
    </row>
    <row r="43" spans="1:13">
      <c r="A43" s="7">
        <v>39</v>
      </c>
      <c r="B43" s="7"/>
      <c r="C43" s="7" t="s">
        <v>236</v>
      </c>
      <c r="D43" s="8" t="s">
        <v>237</v>
      </c>
      <c r="E43" s="7">
        <v>14</v>
      </c>
      <c r="F43" s="7" t="str">
        <f>IFERROR(INDEX(Categories!$B$5:$B$27,MATCH(E43,Categories!$A$5:$A$27,0)),"")</f>
        <v>Frontend</v>
      </c>
      <c r="G43" s="7" t="s">
        <v>238</v>
      </c>
      <c r="H43" s="7" t="s">
        <v>97</v>
      </c>
      <c r="I43" s="7" t="s">
        <v>99</v>
      </c>
      <c r="J43" s="13">
        <f>IFERROR(INDEX(Rates!$D$6:$D$15,MATCH(H43&amp;"|"&amp;I43,Rates!$C$6:$C$15,0)),0)</f>
        <v>120</v>
      </c>
      <c r="K43" s="14">
        <v>4</v>
      </c>
      <c r="L43" s="13">
        <f t="shared" si="1"/>
        <v>480</v>
      </c>
      <c r="M43" s="7" t="s">
        <v>239</v>
      </c>
    </row>
    <row r="44" spans="1:13" ht="25.5">
      <c r="A44" s="15">
        <v>40</v>
      </c>
      <c r="B44" s="15"/>
      <c r="C44" s="15" t="s">
        <v>236</v>
      </c>
      <c r="D44" s="16" t="s">
        <v>240</v>
      </c>
      <c r="E44" s="15">
        <v>14</v>
      </c>
      <c r="F44" s="15" t="str">
        <f>IFERROR(INDEX(Categories!$B$5:$B$27,MATCH(E44,Categories!$A$5:$A$27,0)),"")</f>
        <v>Frontend</v>
      </c>
      <c r="G44" s="15" t="s">
        <v>241</v>
      </c>
      <c r="H44" s="15" t="s">
        <v>97</v>
      </c>
      <c r="I44" s="15" t="s">
        <v>99</v>
      </c>
      <c r="J44" s="17">
        <f>IFERROR(INDEX(Rates!$D$6:$D$15,MATCH(H44&amp;"|"&amp;I44,Rates!$C$6:$C$15,0)),0)</f>
        <v>120</v>
      </c>
      <c r="K44" s="18">
        <v>4</v>
      </c>
      <c r="L44" s="17">
        <f t="shared" si="1"/>
        <v>480</v>
      </c>
      <c r="M44" s="15" t="s">
        <v>242</v>
      </c>
    </row>
    <row r="45" spans="1:13">
      <c r="A45" s="7">
        <v>41</v>
      </c>
      <c r="B45" s="7"/>
      <c r="C45" s="7" t="s">
        <v>236</v>
      </c>
      <c r="D45" s="8" t="s">
        <v>243</v>
      </c>
      <c r="E45" s="7">
        <v>2</v>
      </c>
      <c r="F45" s="7" t="str">
        <f>IFERROR(INDEX(Categories!$B$5:$B$27,MATCH(E45,Categories!$A$5:$A$27,0)),"")</f>
        <v>Backend</v>
      </c>
      <c r="G45" s="7" t="s">
        <v>244</v>
      </c>
      <c r="H45" s="7" t="s">
        <v>97</v>
      </c>
      <c r="I45" s="7" t="s">
        <v>99</v>
      </c>
      <c r="J45" s="13">
        <f>IFERROR(INDEX(Rates!$D$6:$D$15,MATCH(H45&amp;"|"&amp;I45,Rates!$C$6:$C$15,0)),0)</f>
        <v>120</v>
      </c>
      <c r="K45" s="14">
        <v>2</v>
      </c>
      <c r="L45" s="13">
        <f t="shared" si="1"/>
        <v>240</v>
      </c>
      <c r="M45" s="7" t="s">
        <v>245</v>
      </c>
    </row>
    <row r="46" spans="1:13" ht="25.5">
      <c r="A46" s="15">
        <v>42</v>
      </c>
      <c r="B46" s="15" t="s">
        <v>246</v>
      </c>
      <c r="C46" s="15" t="s">
        <v>247</v>
      </c>
      <c r="D46" s="16" t="s">
        <v>248</v>
      </c>
      <c r="E46" s="15">
        <v>15</v>
      </c>
      <c r="F46" s="15" t="str">
        <f>IFERROR(INDEX(Categories!$B$5:$B$27,MATCH(E46,Categories!$A$5:$A$27,0)),"")</f>
        <v>Integration</v>
      </c>
      <c r="G46" s="15" t="s">
        <v>249</v>
      </c>
      <c r="H46" s="15" t="s">
        <v>97</v>
      </c>
      <c r="I46" s="15" t="s">
        <v>99</v>
      </c>
      <c r="J46" s="17">
        <f>IFERROR(INDEX(Rates!$D$6:$D$15,MATCH(H46&amp;"|"&amp;I46,Rates!$C$6:$C$15,0)),0)</f>
        <v>120</v>
      </c>
      <c r="K46" s="18">
        <v>4</v>
      </c>
      <c r="L46" s="17">
        <f t="shared" si="1"/>
        <v>480</v>
      </c>
      <c r="M46" s="15" t="s">
        <v>250</v>
      </c>
    </row>
    <row r="47" spans="1:13">
      <c r="A47" s="7">
        <v>43</v>
      </c>
      <c r="B47" s="7" t="s">
        <v>246</v>
      </c>
      <c r="C47" s="7" t="s">
        <v>247</v>
      </c>
      <c r="D47" s="8" t="s">
        <v>251</v>
      </c>
      <c r="E47" s="7">
        <v>15</v>
      </c>
      <c r="F47" s="7" t="str">
        <f>IFERROR(INDEX(Categories!$B$5:$B$27,MATCH(E47,Categories!$A$5:$A$27,0)),"")</f>
        <v>Integration</v>
      </c>
      <c r="G47" s="7" t="s">
        <v>252</v>
      </c>
      <c r="H47" s="7" t="s">
        <v>97</v>
      </c>
      <c r="I47" s="7" t="s">
        <v>99</v>
      </c>
      <c r="J47" s="13">
        <f>IFERROR(INDEX(Rates!$D$6:$D$15,MATCH(H47&amp;"|"&amp;I47,Rates!$C$6:$C$15,0)),0)</f>
        <v>120</v>
      </c>
      <c r="K47" s="14">
        <v>2</v>
      </c>
      <c r="L47" s="13">
        <f t="shared" si="1"/>
        <v>240</v>
      </c>
      <c r="M47" s="7" t="s">
        <v>253</v>
      </c>
    </row>
    <row r="48" spans="1:13">
      <c r="A48" s="15">
        <v>44</v>
      </c>
      <c r="B48" s="15" t="s">
        <v>246</v>
      </c>
      <c r="C48" s="15" t="s">
        <v>247</v>
      </c>
      <c r="D48" s="16" t="s">
        <v>254</v>
      </c>
      <c r="E48" s="15">
        <v>15</v>
      </c>
      <c r="F48" s="15" t="str">
        <f>IFERROR(INDEX(Categories!$B$5:$B$27,MATCH(E48,Categories!$A$5:$A$27,0)),"")</f>
        <v>Integration</v>
      </c>
      <c r="G48" s="15" t="s">
        <v>255</v>
      </c>
      <c r="H48" s="15" t="s">
        <v>97</v>
      </c>
      <c r="I48" s="15" t="s">
        <v>99</v>
      </c>
      <c r="J48" s="17">
        <f>IFERROR(INDEX(Rates!$D$6:$D$15,MATCH(H48&amp;"|"&amp;I48,Rates!$C$6:$C$15,0)),0)</f>
        <v>120</v>
      </c>
      <c r="K48" s="18">
        <v>2</v>
      </c>
      <c r="L48" s="17">
        <f t="shared" si="1"/>
        <v>240</v>
      </c>
      <c r="M48" s="15" t="s">
        <v>256</v>
      </c>
    </row>
    <row r="49" spans="1:13" ht="25.5">
      <c r="A49" s="7">
        <v>45</v>
      </c>
      <c r="B49" s="7"/>
      <c r="C49" s="7" t="s">
        <v>257</v>
      </c>
      <c r="D49" s="8" t="s">
        <v>258</v>
      </c>
      <c r="E49" s="7">
        <v>15</v>
      </c>
      <c r="F49" s="7" t="str">
        <f>IFERROR(INDEX(Categories!$B$5:$B$27,MATCH(E49,Categories!$A$5:$A$27,0)),"")</f>
        <v>Integration</v>
      </c>
      <c r="G49" s="7" t="s">
        <v>259</v>
      </c>
      <c r="H49" s="7" t="s">
        <v>97</v>
      </c>
      <c r="I49" s="7" t="s">
        <v>98</v>
      </c>
      <c r="J49" s="13">
        <f>IFERROR(INDEX(Rates!$D$6:$D$15,MATCH(H49&amp;"|"&amp;I49,Rates!$C$6:$C$15,0)),0)</f>
        <v>100</v>
      </c>
      <c r="K49" s="14">
        <v>3</v>
      </c>
      <c r="L49" s="13">
        <f t="shared" si="1"/>
        <v>300</v>
      </c>
      <c r="M49" s="7" t="s">
        <v>260</v>
      </c>
    </row>
    <row r="50" spans="1:13">
      <c r="A50" s="15">
        <v>46</v>
      </c>
      <c r="B50" s="15"/>
      <c r="C50" s="15" t="s">
        <v>257</v>
      </c>
      <c r="D50" s="16" t="s">
        <v>261</v>
      </c>
      <c r="E50" s="15">
        <v>15</v>
      </c>
      <c r="F50" s="15" t="str">
        <f>IFERROR(INDEX(Categories!$B$5:$B$27,MATCH(E50,Categories!$A$5:$A$27,0)),"")</f>
        <v>Integration</v>
      </c>
      <c r="G50" s="15" t="s">
        <v>262</v>
      </c>
      <c r="H50" s="15" t="s">
        <v>97</v>
      </c>
      <c r="I50" s="15" t="s">
        <v>98</v>
      </c>
      <c r="J50" s="17">
        <f>IFERROR(INDEX(Rates!$D$6:$D$15,MATCH(H50&amp;"|"&amp;I50,Rates!$C$6:$C$15,0)),0)</f>
        <v>100</v>
      </c>
      <c r="K50" s="18">
        <v>2</v>
      </c>
      <c r="L50" s="17">
        <f t="shared" si="1"/>
        <v>200</v>
      </c>
      <c r="M50" s="15" t="s">
        <v>263</v>
      </c>
    </row>
    <row r="51" spans="1:13">
      <c r="A51" s="7">
        <v>47</v>
      </c>
      <c r="B51" s="7"/>
      <c r="C51" s="7" t="s">
        <v>257</v>
      </c>
      <c r="D51" s="8" t="s">
        <v>264</v>
      </c>
      <c r="E51" s="7">
        <v>15</v>
      </c>
      <c r="F51" s="7" t="str">
        <f>IFERROR(INDEX(Categories!$B$5:$B$27,MATCH(E51,Categories!$A$5:$A$27,0)),"")</f>
        <v>Integration</v>
      </c>
      <c r="G51" s="7" t="s">
        <v>265</v>
      </c>
      <c r="H51" s="7" t="s">
        <v>97</v>
      </c>
      <c r="I51" s="7" t="s">
        <v>99</v>
      </c>
      <c r="J51" s="13">
        <f>IFERROR(INDEX(Rates!$D$6:$D$15,MATCH(H51&amp;"|"&amp;I51,Rates!$C$6:$C$15,0)),0)</f>
        <v>120</v>
      </c>
      <c r="K51" s="14">
        <v>12</v>
      </c>
      <c r="L51" s="13">
        <f t="shared" si="1"/>
        <v>1440</v>
      </c>
      <c r="M51" s="7" t="s">
        <v>266</v>
      </c>
    </row>
    <row r="52" spans="1:13" ht="25.5">
      <c r="A52" s="15">
        <v>48</v>
      </c>
      <c r="B52" s="15"/>
      <c r="C52" s="15" t="s">
        <v>257</v>
      </c>
      <c r="D52" s="16" t="s">
        <v>267</v>
      </c>
      <c r="E52" s="15">
        <v>15</v>
      </c>
      <c r="F52" s="15" t="str">
        <f>IFERROR(INDEX(Categories!$B$5:$B$27,MATCH(E52,Categories!$A$5:$A$27,0)),"")</f>
        <v>Integration</v>
      </c>
      <c r="G52" s="15" t="s">
        <v>268</v>
      </c>
      <c r="H52" s="15" t="s">
        <v>97</v>
      </c>
      <c r="I52" s="15" t="s">
        <v>99</v>
      </c>
      <c r="J52" s="17">
        <f>IFERROR(INDEX(Rates!$D$6:$D$15,MATCH(H52&amp;"|"&amp;I52,Rates!$C$6:$C$15,0)),0)</f>
        <v>120</v>
      </c>
      <c r="K52" s="18">
        <v>25</v>
      </c>
      <c r="L52" s="17">
        <f t="shared" si="1"/>
        <v>3000</v>
      </c>
      <c r="M52" s="15" t="s">
        <v>269</v>
      </c>
    </row>
    <row r="53" spans="1:13" ht="25.5">
      <c r="A53" s="7">
        <v>49</v>
      </c>
      <c r="B53" s="7"/>
      <c r="C53" s="7" t="s">
        <v>257</v>
      </c>
      <c r="D53" s="8" t="s">
        <v>270</v>
      </c>
      <c r="E53" s="7">
        <v>15</v>
      </c>
      <c r="F53" s="7" t="str">
        <f>IFERROR(INDEX(Categories!$B$5:$B$27,MATCH(E53,Categories!$A$5:$A$27,0)),"")</f>
        <v>Integration</v>
      </c>
      <c r="G53" s="7" t="s">
        <v>271</v>
      </c>
      <c r="H53" s="7" t="s">
        <v>97</v>
      </c>
      <c r="I53" s="7" t="s">
        <v>98</v>
      </c>
      <c r="J53" s="13">
        <f>IFERROR(INDEX(Rates!$D$6:$D$15,MATCH(H53&amp;"|"&amp;I53,Rates!$C$6:$C$15,0)),0)</f>
        <v>100</v>
      </c>
      <c r="K53" s="14">
        <v>6</v>
      </c>
      <c r="L53" s="13">
        <f t="shared" si="1"/>
        <v>600</v>
      </c>
      <c r="M53" s="7" t="s">
        <v>272</v>
      </c>
    </row>
    <row r="54" spans="1:13" ht="25.5">
      <c r="A54" s="15">
        <v>50</v>
      </c>
      <c r="B54" s="15"/>
      <c r="C54" s="15" t="s">
        <v>257</v>
      </c>
      <c r="D54" s="16" t="s">
        <v>273</v>
      </c>
      <c r="E54" s="15">
        <v>1</v>
      </c>
      <c r="F54" s="15" t="str">
        <f>IFERROR(INDEX(Categories!$B$5:$B$27,MATCH(E54,Categories!$A$5:$A$27,0)),"")</f>
        <v>Accessibility</v>
      </c>
      <c r="G54" s="15" t="s">
        <v>274</v>
      </c>
      <c r="H54" s="15" t="s">
        <v>97</v>
      </c>
      <c r="I54" s="15" t="s">
        <v>98</v>
      </c>
      <c r="J54" s="17">
        <f>IFERROR(INDEX(Rates!$D$6:$D$15,MATCH(H54&amp;"|"&amp;I54,Rates!$C$6:$C$15,0)),0)</f>
        <v>100</v>
      </c>
      <c r="K54" s="18">
        <v>6</v>
      </c>
      <c r="L54" s="17">
        <f t="shared" si="1"/>
        <v>600</v>
      </c>
      <c r="M54" s="15" t="s">
        <v>275</v>
      </c>
    </row>
    <row r="55" spans="1:13" ht="25.5">
      <c r="A55" s="7">
        <v>51</v>
      </c>
      <c r="B55" s="7"/>
      <c r="C55" s="7" t="s">
        <v>257</v>
      </c>
      <c r="D55" s="8" t="s">
        <v>276</v>
      </c>
      <c r="E55" s="7">
        <v>1</v>
      </c>
      <c r="F55" s="7" t="str">
        <f>IFERROR(INDEX(Categories!$B$5:$B$27,MATCH(E55,Categories!$A$5:$A$27,0)),"")</f>
        <v>Accessibility</v>
      </c>
      <c r="G55" s="7" t="s">
        <v>277</v>
      </c>
      <c r="H55" s="7" t="s">
        <v>97</v>
      </c>
      <c r="I55" s="7" t="s">
        <v>99</v>
      </c>
      <c r="J55" s="13">
        <f>IFERROR(INDEX(Rates!$D$6:$D$15,MATCH(H55&amp;"|"&amp;I55,Rates!$C$6:$C$15,0)),0)</f>
        <v>120</v>
      </c>
      <c r="K55" s="14">
        <v>25</v>
      </c>
      <c r="L55" s="13">
        <f t="shared" si="1"/>
        <v>3000</v>
      </c>
      <c r="M55" s="7" t="s">
        <v>278</v>
      </c>
    </row>
    <row r="56" spans="1:13" ht="25.5">
      <c r="A56" s="15">
        <v>52</v>
      </c>
      <c r="B56" s="15"/>
      <c r="C56" s="15" t="s">
        <v>279</v>
      </c>
      <c r="D56" s="16" t="s">
        <v>280</v>
      </c>
      <c r="E56" s="15">
        <v>2</v>
      </c>
      <c r="F56" s="15" t="str">
        <f>IFERROR(INDEX(Categories!$B$5:$B$27,MATCH(E56,Categories!$A$5:$A$27,0)),"")</f>
        <v>Backend</v>
      </c>
      <c r="G56" s="15" t="s">
        <v>281</v>
      </c>
      <c r="H56" s="15" t="s">
        <v>97</v>
      </c>
      <c r="I56" s="15" t="s">
        <v>99</v>
      </c>
      <c r="J56" s="17">
        <f>IFERROR(INDEX(Rates!$D$6:$D$15,MATCH(H56&amp;"|"&amp;I56,Rates!$C$6:$C$15,0)),0)</f>
        <v>120</v>
      </c>
      <c r="K56" s="18">
        <v>10</v>
      </c>
      <c r="L56" s="17">
        <f t="shared" si="1"/>
        <v>1200</v>
      </c>
      <c r="M56" s="15" t="s">
        <v>282</v>
      </c>
    </row>
    <row r="57" spans="1:13">
      <c r="A57" s="7">
        <v>53</v>
      </c>
      <c r="B57" s="7"/>
      <c r="C57" s="7" t="s">
        <v>279</v>
      </c>
      <c r="D57" s="8" t="s">
        <v>283</v>
      </c>
      <c r="E57" s="7">
        <v>2</v>
      </c>
      <c r="F57" s="7" t="str">
        <f>IFERROR(INDEX(Categories!$B$5:$B$27,MATCH(E57,Categories!$A$5:$A$27,0)),"")</f>
        <v>Backend</v>
      </c>
      <c r="G57" s="7" t="s">
        <v>284</v>
      </c>
      <c r="H57" s="7" t="s">
        <v>97</v>
      </c>
      <c r="I57" s="7" t="s">
        <v>99</v>
      </c>
      <c r="J57" s="13">
        <f>IFERROR(INDEX(Rates!$D$6:$D$15,MATCH(H57&amp;"|"&amp;I57,Rates!$C$6:$C$15,0)),0)</f>
        <v>120</v>
      </c>
      <c r="K57" s="14">
        <v>10</v>
      </c>
      <c r="L57" s="13">
        <f t="shared" si="1"/>
        <v>1200</v>
      </c>
      <c r="M57" s="7" t="s">
        <v>285</v>
      </c>
    </row>
    <row r="58" spans="1:13">
      <c r="A58" s="15">
        <v>54</v>
      </c>
      <c r="B58" s="15"/>
      <c r="C58" s="15" t="s">
        <v>279</v>
      </c>
      <c r="D58" s="16" t="s">
        <v>286</v>
      </c>
      <c r="E58" s="15">
        <v>2</v>
      </c>
      <c r="F58" s="15" t="str">
        <f>IFERROR(INDEX(Categories!$B$5:$B$27,MATCH(E58,Categories!$A$5:$A$27,0)),"")</f>
        <v>Backend</v>
      </c>
      <c r="G58" s="15" t="s">
        <v>287</v>
      </c>
      <c r="H58" s="15" t="s">
        <v>97</v>
      </c>
      <c r="I58" s="15" t="s">
        <v>99</v>
      </c>
      <c r="J58" s="17">
        <f>IFERROR(INDEX(Rates!$D$6:$D$15,MATCH(H58&amp;"|"&amp;I58,Rates!$C$6:$C$15,0)),0)</f>
        <v>120</v>
      </c>
      <c r="K58" s="18">
        <v>12</v>
      </c>
      <c r="L58" s="17">
        <f t="shared" si="1"/>
        <v>1440</v>
      </c>
      <c r="M58" s="15" t="s">
        <v>288</v>
      </c>
    </row>
    <row r="59" spans="1:13" ht="25.5">
      <c r="A59" s="7">
        <v>55</v>
      </c>
      <c r="B59" s="7"/>
      <c r="C59" s="7" t="s">
        <v>279</v>
      </c>
      <c r="D59" s="8" t="s">
        <v>289</v>
      </c>
      <c r="E59" s="7">
        <v>2</v>
      </c>
      <c r="F59" s="7" t="str">
        <f>IFERROR(INDEX(Categories!$B$5:$B$27,MATCH(E59,Categories!$A$5:$A$27,0)),"")</f>
        <v>Backend</v>
      </c>
      <c r="G59" s="7" t="s">
        <v>290</v>
      </c>
      <c r="H59" s="7" t="s">
        <v>97</v>
      </c>
      <c r="I59" s="7" t="s">
        <v>99</v>
      </c>
      <c r="J59" s="13">
        <f>IFERROR(INDEX(Rates!$D$6:$D$15,MATCH(H59&amp;"|"&amp;I59,Rates!$C$6:$C$15,0)),0)</f>
        <v>120</v>
      </c>
      <c r="K59" s="14">
        <v>20</v>
      </c>
      <c r="L59" s="13">
        <f t="shared" si="1"/>
        <v>2400</v>
      </c>
      <c r="M59" s="7" t="s">
        <v>291</v>
      </c>
    </row>
    <row r="60" spans="1:13" ht="25.5">
      <c r="A60" s="15">
        <v>56</v>
      </c>
      <c r="B60" s="15"/>
      <c r="C60" s="15" t="s">
        <v>68</v>
      </c>
      <c r="D60" s="16" t="s">
        <v>292</v>
      </c>
      <c r="E60" s="15">
        <v>12</v>
      </c>
      <c r="F60" s="15" t="str">
        <f>IFERROR(INDEX(Categories!$B$5:$B$27,MATCH(E60,Categories!$A$5:$A$27,0)),"")</f>
        <v>E-Commerce</v>
      </c>
      <c r="G60" s="15" t="s">
        <v>293</v>
      </c>
      <c r="H60" s="15" t="s">
        <v>97</v>
      </c>
      <c r="I60" s="15" t="s">
        <v>98</v>
      </c>
      <c r="J60" s="17">
        <f>IFERROR(INDEX(Rates!$D$6:$D$15,MATCH(H60&amp;"|"&amp;I60,Rates!$C$6:$C$15,0)),0)</f>
        <v>100</v>
      </c>
      <c r="K60" s="18">
        <v>7</v>
      </c>
      <c r="L60" s="17">
        <f t="shared" si="1"/>
        <v>700</v>
      </c>
      <c r="M60" s="15" t="s">
        <v>294</v>
      </c>
    </row>
    <row r="61" spans="1:13">
      <c r="A61" s="7">
        <v>57</v>
      </c>
      <c r="B61" s="7"/>
      <c r="C61" s="7" t="s">
        <v>68</v>
      </c>
      <c r="D61" s="8" t="s">
        <v>295</v>
      </c>
      <c r="E61" s="7">
        <v>12</v>
      </c>
      <c r="F61" s="7" t="str">
        <f>IFERROR(INDEX(Categories!$B$5:$B$27,MATCH(E61,Categories!$A$5:$A$27,0)),"")</f>
        <v>E-Commerce</v>
      </c>
      <c r="G61" s="7" t="s">
        <v>296</v>
      </c>
      <c r="H61" s="7" t="s">
        <v>97</v>
      </c>
      <c r="I61" s="7" t="s">
        <v>98</v>
      </c>
      <c r="J61" s="13">
        <f>IFERROR(INDEX(Rates!$D$6:$D$15,MATCH(H61&amp;"|"&amp;I61,Rates!$C$6:$C$15,0)),0)</f>
        <v>100</v>
      </c>
      <c r="K61" s="14">
        <v>6</v>
      </c>
      <c r="L61" s="13">
        <f t="shared" si="1"/>
        <v>600</v>
      </c>
      <c r="M61" s="7"/>
    </row>
    <row r="62" spans="1:13" ht="25.5">
      <c r="A62" s="15">
        <v>58</v>
      </c>
      <c r="B62" s="15"/>
      <c r="C62" s="15" t="s">
        <v>68</v>
      </c>
      <c r="D62" s="16" t="s">
        <v>297</v>
      </c>
      <c r="E62" s="15">
        <v>12</v>
      </c>
      <c r="F62" s="15" t="str">
        <f>IFERROR(INDEX(Categories!$B$5:$B$27,MATCH(E62,Categories!$A$5:$A$27,0)),"")</f>
        <v>E-Commerce</v>
      </c>
      <c r="G62" s="15" t="s">
        <v>298</v>
      </c>
      <c r="H62" s="15" t="s">
        <v>100</v>
      </c>
      <c r="I62" s="15" t="s">
        <v>98</v>
      </c>
      <c r="J62" s="17">
        <f>IFERROR(INDEX(Rates!$D$6:$D$15,MATCH(H62&amp;"|"&amp;I62,Rates!$C$6:$C$15,0)),0)</f>
        <v>100</v>
      </c>
      <c r="K62" s="18">
        <v>5</v>
      </c>
      <c r="L62" s="17">
        <f t="shared" si="1"/>
        <v>500</v>
      </c>
      <c r="M62" s="15" t="s">
        <v>299</v>
      </c>
    </row>
    <row r="63" spans="1:13" ht="25.5">
      <c r="A63" s="7">
        <v>59</v>
      </c>
      <c r="B63" s="7"/>
      <c r="C63" s="7" t="s">
        <v>68</v>
      </c>
      <c r="D63" s="8" t="s">
        <v>300</v>
      </c>
      <c r="E63" s="7">
        <v>12</v>
      </c>
      <c r="F63" s="7" t="str">
        <f>IFERROR(INDEX(Categories!$B$5:$B$27,MATCH(E63,Categories!$A$5:$A$27,0)),"")</f>
        <v>E-Commerce</v>
      </c>
      <c r="G63" s="7" t="s">
        <v>301</v>
      </c>
      <c r="H63" s="7" t="s">
        <v>97</v>
      </c>
      <c r="I63" s="7" t="s">
        <v>99</v>
      </c>
      <c r="J63" s="13">
        <f>IFERROR(INDEX(Rates!$D$6:$D$15,MATCH(H63&amp;"|"&amp;I63,Rates!$C$6:$C$15,0)),0)</f>
        <v>120</v>
      </c>
      <c r="K63" s="14">
        <v>8</v>
      </c>
      <c r="L63" s="13">
        <f t="shared" si="1"/>
        <v>960</v>
      </c>
      <c r="M63" s="7" t="s">
        <v>302</v>
      </c>
    </row>
    <row r="64" spans="1:13">
      <c r="A64" s="15">
        <v>60</v>
      </c>
      <c r="B64" s="15"/>
      <c r="C64" s="15" t="s">
        <v>68</v>
      </c>
      <c r="D64" s="16" t="s">
        <v>303</v>
      </c>
      <c r="E64" s="15">
        <v>12</v>
      </c>
      <c r="F64" s="15" t="str">
        <f>IFERROR(INDEX(Categories!$B$5:$B$27,MATCH(E64,Categories!$A$5:$A$27,0)),"")</f>
        <v>E-Commerce</v>
      </c>
      <c r="G64" s="15" t="s">
        <v>304</v>
      </c>
      <c r="H64" s="15" t="s">
        <v>97</v>
      </c>
      <c r="I64" s="15" t="s">
        <v>98</v>
      </c>
      <c r="J64" s="17">
        <f>IFERROR(INDEX(Rates!$D$6:$D$15,MATCH(H64&amp;"|"&amp;I64,Rates!$C$6:$C$15,0)),0)</f>
        <v>100</v>
      </c>
      <c r="K64" s="18">
        <v>6</v>
      </c>
      <c r="L64" s="17">
        <f t="shared" si="1"/>
        <v>600</v>
      </c>
      <c r="M64" s="15"/>
    </row>
    <row r="65" spans="1:13">
      <c r="A65" s="7">
        <v>61</v>
      </c>
      <c r="B65" s="7"/>
      <c r="C65" s="7" t="s">
        <v>68</v>
      </c>
      <c r="D65" s="8" t="s">
        <v>305</v>
      </c>
      <c r="E65" s="7">
        <v>12</v>
      </c>
      <c r="F65" s="7" t="str">
        <f>IFERROR(INDEX(Categories!$B$5:$B$27,MATCH(E65,Categories!$A$5:$A$27,0)),"")</f>
        <v>E-Commerce</v>
      </c>
      <c r="G65" s="7" t="s">
        <v>306</v>
      </c>
      <c r="H65" s="7" t="s">
        <v>97</v>
      </c>
      <c r="I65" s="7" t="s">
        <v>98</v>
      </c>
      <c r="J65" s="13">
        <f>IFERROR(INDEX(Rates!$D$6:$D$15,MATCH(H65&amp;"|"&amp;I65,Rates!$C$6:$C$15,0)),0)</f>
        <v>100</v>
      </c>
      <c r="K65" s="14">
        <v>6</v>
      </c>
      <c r="L65" s="13">
        <f t="shared" si="1"/>
        <v>600</v>
      </c>
      <c r="M65" s="7" t="s">
        <v>307</v>
      </c>
    </row>
    <row r="66" spans="1:13" ht="25.5">
      <c r="A66" s="15">
        <v>62</v>
      </c>
      <c r="B66" s="15"/>
      <c r="C66" s="15" t="s">
        <v>68</v>
      </c>
      <c r="D66" s="16" t="s">
        <v>308</v>
      </c>
      <c r="E66" s="15">
        <v>12</v>
      </c>
      <c r="F66" s="15" t="str">
        <f>IFERROR(INDEX(Categories!$B$5:$B$27,MATCH(E66,Categories!$A$5:$A$27,0)),"")</f>
        <v>E-Commerce</v>
      </c>
      <c r="G66" s="15" t="s">
        <v>309</v>
      </c>
      <c r="H66" s="15" t="s">
        <v>97</v>
      </c>
      <c r="I66" s="15" t="s">
        <v>99</v>
      </c>
      <c r="J66" s="17">
        <f>IFERROR(INDEX(Rates!$D$6:$D$15,MATCH(H66&amp;"|"&amp;I66,Rates!$C$6:$C$15,0)),0)</f>
        <v>120</v>
      </c>
      <c r="K66" s="18">
        <v>6</v>
      </c>
      <c r="L66" s="17">
        <f t="shared" si="1"/>
        <v>720</v>
      </c>
      <c r="M66" s="15" t="s">
        <v>310</v>
      </c>
    </row>
    <row r="67" spans="1:13">
      <c r="A67" s="7">
        <v>63</v>
      </c>
      <c r="B67" s="7"/>
      <c r="C67" s="7" t="s">
        <v>68</v>
      </c>
      <c r="D67" s="8" t="s">
        <v>311</v>
      </c>
      <c r="E67" s="7">
        <v>12</v>
      </c>
      <c r="F67" s="7" t="str">
        <f>IFERROR(INDEX(Categories!$B$5:$B$27,MATCH(E67,Categories!$A$5:$A$27,0)),"")</f>
        <v>E-Commerce</v>
      </c>
      <c r="G67" s="7" t="s">
        <v>312</v>
      </c>
      <c r="H67" s="7" t="s">
        <v>97</v>
      </c>
      <c r="I67" s="7" t="s">
        <v>98</v>
      </c>
      <c r="J67" s="13">
        <f>IFERROR(INDEX(Rates!$D$6:$D$15,MATCH(H67&amp;"|"&amp;I67,Rates!$C$6:$C$15,0)),0)</f>
        <v>100</v>
      </c>
      <c r="K67" s="14">
        <v>5</v>
      </c>
      <c r="L67" s="13">
        <f t="shared" si="1"/>
        <v>500</v>
      </c>
      <c r="M67" s="7" t="s">
        <v>313</v>
      </c>
    </row>
    <row r="68" spans="1:13" ht="25.5">
      <c r="A68" s="15">
        <v>64</v>
      </c>
      <c r="B68" s="15"/>
      <c r="C68" s="15" t="s">
        <v>68</v>
      </c>
      <c r="D68" s="16" t="s">
        <v>314</v>
      </c>
      <c r="E68" s="15">
        <v>12</v>
      </c>
      <c r="F68" s="15" t="str">
        <f>IFERROR(INDEX(Categories!$B$5:$B$27,MATCH(E68,Categories!$A$5:$A$27,0)),"")</f>
        <v>E-Commerce</v>
      </c>
      <c r="G68" s="15" t="s">
        <v>315</v>
      </c>
      <c r="H68" s="15" t="s">
        <v>97</v>
      </c>
      <c r="I68" s="15" t="s">
        <v>99</v>
      </c>
      <c r="J68" s="17">
        <f>IFERROR(INDEX(Rates!$D$6:$D$15,MATCH(H68&amp;"|"&amp;I68,Rates!$C$6:$C$15,0)),0)</f>
        <v>120</v>
      </c>
      <c r="K68" s="18">
        <v>8</v>
      </c>
      <c r="L68" s="17">
        <f t="shared" si="1"/>
        <v>960</v>
      </c>
      <c r="M68" s="15" t="s">
        <v>316</v>
      </c>
    </row>
    <row r="69" spans="1:13" ht="25.5">
      <c r="A69" s="7">
        <v>65</v>
      </c>
      <c r="B69" s="7"/>
      <c r="C69" s="7" t="s">
        <v>68</v>
      </c>
      <c r="D69" s="8" t="s">
        <v>317</v>
      </c>
      <c r="E69" s="7">
        <v>12</v>
      </c>
      <c r="F69" s="7" t="str">
        <f>IFERROR(INDEX(Categories!$B$5:$B$27,MATCH(E69,Categories!$A$5:$A$27,0)),"")</f>
        <v>E-Commerce</v>
      </c>
      <c r="G69" s="7" t="s">
        <v>318</v>
      </c>
      <c r="H69" s="7" t="s">
        <v>97</v>
      </c>
      <c r="I69" s="7" t="s">
        <v>98</v>
      </c>
      <c r="J69" s="13">
        <f>IFERROR(INDEX(Rates!$D$6:$D$15,MATCH(H69&amp;"|"&amp;I69,Rates!$C$6:$C$15,0)),0)</f>
        <v>100</v>
      </c>
      <c r="K69" s="14">
        <v>6</v>
      </c>
      <c r="L69" s="13">
        <f t="shared" ref="L69:L100" si="2">K69*J69</f>
        <v>600</v>
      </c>
      <c r="M69" s="7" t="s">
        <v>319</v>
      </c>
    </row>
    <row r="70" spans="1:13" ht="25.5">
      <c r="A70" s="15">
        <v>66</v>
      </c>
      <c r="B70" s="15"/>
      <c r="C70" s="15" t="s">
        <v>68</v>
      </c>
      <c r="D70" s="16" t="s">
        <v>320</v>
      </c>
      <c r="E70" s="15">
        <v>12</v>
      </c>
      <c r="F70" s="15" t="str">
        <f>IFERROR(INDEX(Categories!$B$5:$B$27,MATCH(E70,Categories!$A$5:$A$27,0)),"")</f>
        <v>E-Commerce</v>
      </c>
      <c r="G70" s="15" t="s">
        <v>321</v>
      </c>
      <c r="H70" s="15" t="s">
        <v>97</v>
      </c>
      <c r="I70" s="15" t="s">
        <v>99</v>
      </c>
      <c r="J70" s="17">
        <f>IFERROR(INDEX(Rates!$D$6:$D$15,MATCH(H70&amp;"|"&amp;I70,Rates!$C$6:$C$15,0)),0)</f>
        <v>120</v>
      </c>
      <c r="K70" s="18">
        <v>5</v>
      </c>
      <c r="L70" s="17">
        <f t="shared" si="2"/>
        <v>600</v>
      </c>
      <c r="M70" s="15" t="s">
        <v>322</v>
      </c>
    </row>
    <row r="71" spans="1:13">
      <c r="A71" s="7">
        <v>67</v>
      </c>
      <c r="B71" s="7"/>
      <c r="C71" s="7" t="s">
        <v>68</v>
      </c>
      <c r="D71" s="8" t="s">
        <v>323</v>
      </c>
      <c r="E71" s="7">
        <v>12</v>
      </c>
      <c r="F71" s="7" t="str">
        <f>IFERROR(INDEX(Categories!$B$5:$B$27,MATCH(E71,Categories!$A$5:$A$27,0)),"")</f>
        <v>E-Commerce</v>
      </c>
      <c r="G71" s="7" t="s">
        <v>324</v>
      </c>
      <c r="H71" s="7" t="s">
        <v>97</v>
      </c>
      <c r="I71" s="7" t="s">
        <v>98</v>
      </c>
      <c r="J71" s="13">
        <f>IFERROR(INDEX(Rates!$D$6:$D$15,MATCH(H71&amp;"|"&amp;I71,Rates!$C$6:$C$15,0)),0)</f>
        <v>100</v>
      </c>
      <c r="K71" s="14">
        <v>4</v>
      </c>
      <c r="L71" s="13">
        <f t="shared" si="2"/>
        <v>400</v>
      </c>
      <c r="M71" s="7" t="s">
        <v>325</v>
      </c>
    </row>
    <row r="72" spans="1:13" ht="25.5">
      <c r="A72" s="15">
        <v>68</v>
      </c>
      <c r="B72" s="15"/>
      <c r="C72" s="15" t="s">
        <v>68</v>
      </c>
      <c r="D72" s="16" t="s">
        <v>326</v>
      </c>
      <c r="E72" s="15">
        <v>12</v>
      </c>
      <c r="F72" s="15" t="str">
        <f>IFERROR(INDEX(Categories!$B$5:$B$27,MATCH(E72,Categories!$A$5:$A$27,0)),"")</f>
        <v>E-Commerce</v>
      </c>
      <c r="G72" s="15" t="s">
        <v>327</v>
      </c>
      <c r="H72" s="15" t="s">
        <v>97</v>
      </c>
      <c r="I72" s="15" t="s">
        <v>98</v>
      </c>
      <c r="J72" s="17">
        <f>IFERROR(INDEX(Rates!$D$6:$D$15,MATCH(H72&amp;"|"&amp;I72,Rates!$C$6:$C$15,0)),0)</f>
        <v>100</v>
      </c>
      <c r="K72" s="18">
        <v>3</v>
      </c>
      <c r="L72" s="17">
        <f t="shared" si="2"/>
        <v>300</v>
      </c>
      <c r="M72" s="15" t="s">
        <v>328</v>
      </c>
    </row>
    <row r="73" spans="1:13" ht="25.5">
      <c r="A73" s="7">
        <v>69</v>
      </c>
      <c r="B73" s="7"/>
      <c r="C73" s="7" t="s">
        <v>68</v>
      </c>
      <c r="D73" s="8" t="s">
        <v>329</v>
      </c>
      <c r="E73" s="7">
        <v>12</v>
      </c>
      <c r="F73" s="7" t="str">
        <f>IFERROR(INDEX(Categories!$B$5:$B$27,MATCH(E73,Categories!$A$5:$A$27,0)),"")</f>
        <v>E-Commerce</v>
      </c>
      <c r="G73" s="7" t="s">
        <v>330</v>
      </c>
      <c r="H73" s="7" t="s">
        <v>103</v>
      </c>
      <c r="I73" s="7" t="s">
        <v>98</v>
      </c>
      <c r="J73" s="13">
        <f>IFERROR(INDEX(Rates!$D$6:$D$15,MATCH(H73&amp;"|"&amp;I73,Rates!$C$6:$C$15,0)),0)</f>
        <v>0</v>
      </c>
      <c r="K73" s="14">
        <v>0.5</v>
      </c>
      <c r="L73" s="13">
        <f t="shared" si="2"/>
        <v>0</v>
      </c>
      <c r="M73" s="7" t="s">
        <v>331</v>
      </c>
    </row>
    <row r="74" spans="1:13" ht="25.5">
      <c r="A74" s="15">
        <v>70</v>
      </c>
      <c r="B74" s="15"/>
      <c r="C74" s="15" t="s">
        <v>68</v>
      </c>
      <c r="D74" s="16" t="s">
        <v>332</v>
      </c>
      <c r="E74" s="15">
        <v>12</v>
      </c>
      <c r="F74" s="15" t="str">
        <f>IFERROR(INDEX(Categories!$B$5:$B$27,MATCH(E74,Categories!$A$5:$A$27,0)),"")</f>
        <v>E-Commerce</v>
      </c>
      <c r="G74" s="15" t="s">
        <v>333</v>
      </c>
      <c r="H74" s="15" t="s">
        <v>97</v>
      </c>
      <c r="I74" s="15" t="s">
        <v>98</v>
      </c>
      <c r="J74" s="17">
        <f>IFERROR(INDEX(Rates!$D$6:$D$15,MATCH(H74&amp;"|"&amp;I74,Rates!$C$6:$C$15,0)),0)</f>
        <v>100</v>
      </c>
      <c r="K74" s="18">
        <v>6</v>
      </c>
      <c r="L74" s="17">
        <f t="shared" si="2"/>
        <v>600</v>
      </c>
      <c r="M74" s="15" t="s">
        <v>334</v>
      </c>
    </row>
    <row r="75" spans="1:13" ht="25.5">
      <c r="A75" s="7">
        <v>71</v>
      </c>
      <c r="B75" s="7"/>
      <c r="C75" s="7" t="s">
        <v>68</v>
      </c>
      <c r="D75" s="8" t="s">
        <v>335</v>
      </c>
      <c r="E75" s="7">
        <v>12</v>
      </c>
      <c r="F75" s="7" t="str">
        <f>IFERROR(INDEX(Categories!$B$5:$B$27,MATCH(E75,Categories!$A$5:$A$27,0)),"")</f>
        <v>E-Commerce</v>
      </c>
      <c r="G75" s="7" t="s">
        <v>336</v>
      </c>
      <c r="H75" s="7" t="s">
        <v>97</v>
      </c>
      <c r="I75" s="7" t="s">
        <v>99</v>
      </c>
      <c r="J75" s="13">
        <f>IFERROR(INDEX(Rates!$D$6:$D$15,MATCH(H75&amp;"|"&amp;I75,Rates!$C$6:$C$15,0)),0)</f>
        <v>120</v>
      </c>
      <c r="K75" s="14">
        <v>8</v>
      </c>
      <c r="L75" s="13">
        <f t="shared" si="2"/>
        <v>960</v>
      </c>
      <c r="M75" s="7" t="s">
        <v>337</v>
      </c>
    </row>
    <row r="76" spans="1:13" ht="25.5">
      <c r="A76" s="15">
        <v>72</v>
      </c>
      <c r="B76" s="15"/>
      <c r="C76" s="15" t="s">
        <v>68</v>
      </c>
      <c r="D76" s="16" t="s">
        <v>338</v>
      </c>
      <c r="E76" s="15">
        <v>12</v>
      </c>
      <c r="F76" s="15" t="str">
        <f>IFERROR(INDEX(Categories!$B$5:$B$27,MATCH(E76,Categories!$A$5:$A$27,0)),"")</f>
        <v>E-Commerce</v>
      </c>
      <c r="G76" s="15" t="s">
        <v>339</v>
      </c>
      <c r="H76" s="15" t="s">
        <v>97</v>
      </c>
      <c r="I76" s="15" t="s">
        <v>99</v>
      </c>
      <c r="J76" s="17">
        <f>IFERROR(INDEX(Rates!$D$6:$D$15,MATCH(H76&amp;"|"&amp;I76,Rates!$C$6:$C$15,0)),0)</f>
        <v>120</v>
      </c>
      <c r="K76" s="18">
        <v>6</v>
      </c>
      <c r="L76" s="17">
        <f t="shared" si="2"/>
        <v>720</v>
      </c>
      <c r="M76" s="15" t="s">
        <v>340</v>
      </c>
    </row>
    <row r="77" spans="1:13" ht="25.5">
      <c r="A77" s="7">
        <v>73</v>
      </c>
      <c r="B77" s="7"/>
      <c r="C77" s="7" t="s">
        <v>68</v>
      </c>
      <c r="D77" s="8" t="s">
        <v>341</v>
      </c>
      <c r="E77" s="7">
        <v>12</v>
      </c>
      <c r="F77" s="7" t="str">
        <f>IFERROR(INDEX(Categories!$B$5:$B$27,MATCH(E77,Categories!$A$5:$A$27,0)),"")</f>
        <v>E-Commerce</v>
      </c>
      <c r="G77" s="7" t="s">
        <v>342</v>
      </c>
      <c r="H77" s="7" t="s">
        <v>97</v>
      </c>
      <c r="I77" s="7" t="s">
        <v>98</v>
      </c>
      <c r="J77" s="13">
        <f>IFERROR(INDEX(Rates!$D$6:$D$15,MATCH(H77&amp;"|"&amp;I77,Rates!$C$6:$C$15,0)),0)</f>
        <v>100</v>
      </c>
      <c r="K77" s="14">
        <v>4</v>
      </c>
      <c r="L77" s="13">
        <f t="shared" si="2"/>
        <v>400</v>
      </c>
      <c r="M77" s="7" t="s">
        <v>343</v>
      </c>
    </row>
    <row r="78" spans="1:13" ht="25.5">
      <c r="A78" s="15">
        <v>74</v>
      </c>
      <c r="B78" s="15"/>
      <c r="C78" s="15" t="s">
        <v>68</v>
      </c>
      <c r="D78" s="16" t="s">
        <v>344</v>
      </c>
      <c r="E78" s="15">
        <v>12</v>
      </c>
      <c r="F78" s="15" t="str">
        <f>IFERROR(INDEX(Categories!$B$5:$B$27,MATCH(E78,Categories!$A$5:$A$27,0)),"")</f>
        <v>E-Commerce</v>
      </c>
      <c r="G78" s="15" t="s">
        <v>345</v>
      </c>
      <c r="H78" s="15" t="s">
        <v>97</v>
      </c>
      <c r="I78" s="15" t="s">
        <v>99</v>
      </c>
      <c r="J78" s="17">
        <f>IFERROR(INDEX(Rates!$D$6:$D$15,MATCH(H78&amp;"|"&amp;I78,Rates!$C$6:$C$15,0)),0)</f>
        <v>120</v>
      </c>
      <c r="K78" s="18">
        <v>8</v>
      </c>
      <c r="L78" s="17">
        <f t="shared" si="2"/>
        <v>960</v>
      </c>
      <c r="M78" s="15" t="s">
        <v>346</v>
      </c>
    </row>
    <row r="79" spans="1:13">
      <c r="A79" s="7">
        <v>75</v>
      </c>
      <c r="B79" s="7"/>
      <c r="C79" s="7" t="s">
        <v>68</v>
      </c>
      <c r="D79" s="8" t="s">
        <v>347</v>
      </c>
      <c r="E79" s="7">
        <v>12</v>
      </c>
      <c r="F79" s="7" t="str">
        <f>IFERROR(INDEX(Categories!$B$5:$B$27,MATCH(E79,Categories!$A$5:$A$27,0)),"")</f>
        <v>E-Commerce</v>
      </c>
      <c r="G79" s="7" t="s">
        <v>348</v>
      </c>
      <c r="H79" s="7" t="s">
        <v>97</v>
      </c>
      <c r="I79" s="7" t="s">
        <v>98</v>
      </c>
      <c r="J79" s="13">
        <f>IFERROR(INDEX(Rates!$D$6:$D$15,MATCH(H79&amp;"|"&amp;I79,Rates!$C$6:$C$15,0)),0)</f>
        <v>100</v>
      </c>
      <c r="K79" s="14">
        <v>6</v>
      </c>
      <c r="L79" s="13">
        <f t="shared" si="2"/>
        <v>600</v>
      </c>
      <c r="M79" s="7" t="s">
        <v>349</v>
      </c>
    </row>
    <row r="80" spans="1:13">
      <c r="A80" s="15">
        <v>76</v>
      </c>
      <c r="B80" s="15"/>
      <c r="C80" s="15" t="s">
        <v>68</v>
      </c>
      <c r="D80" s="16" t="s">
        <v>350</v>
      </c>
      <c r="E80" s="15">
        <v>12</v>
      </c>
      <c r="F80" s="15" t="str">
        <f>IFERROR(INDEX(Categories!$B$5:$B$27,MATCH(E80,Categories!$A$5:$A$27,0)),"")</f>
        <v>E-Commerce</v>
      </c>
      <c r="G80" s="15" t="s">
        <v>351</v>
      </c>
      <c r="H80" s="15" t="s">
        <v>97</v>
      </c>
      <c r="I80" s="15" t="s">
        <v>98</v>
      </c>
      <c r="J80" s="17">
        <f>IFERROR(INDEX(Rates!$D$6:$D$15,MATCH(H80&amp;"|"&amp;I80,Rates!$C$6:$C$15,0)),0)</f>
        <v>100</v>
      </c>
      <c r="K80" s="18">
        <v>4</v>
      </c>
      <c r="L80" s="17">
        <f t="shared" si="2"/>
        <v>400</v>
      </c>
      <c r="M80" s="15"/>
    </row>
    <row r="81" spans="1:13">
      <c r="A81" s="7">
        <v>77</v>
      </c>
      <c r="B81" s="7"/>
      <c r="C81" s="7" t="s">
        <v>68</v>
      </c>
      <c r="D81" s="8" t="s">
        <v>352</v>
      </c>
      <c r="E81" s="7">
        <v>12</v>
      </c>
      <c r="F81" s="7" t="str">
        <f>IFERROR(INDEX(Categories!$B$5:$B$27,MATCH(E81,Categories!$A$5:$A$27,0)),"")</f>
        <v>E-Commerce</v>
      </c>
      <c r="G81" s="7" t="s">
        <v>353</v>
      </c>
      <c r="H81" s="7" t="s">
        <v>97</v>
      </c>
      <c r="I81" s="7" t="s">
        <v>99</v>
      </c>
      <c r="J81" s="13">
        <f>IFERROR(INDEX(Rates!$D$6:$D$15,MATCH(H81&amp;"|"&amp;I81,Rates!$C$6:$C$15,0)),0)</f>
        <v>120</v>
      </c>
      <c r="K81" s="14">
        <v>6</v>
      </c>
      <c r="L81" s="13">
        <f t="shared" si="2"/>
        <v>720</v>
      </c>
      <c r="M81" s="7" t="s">
        <v>354</v>
      </c>
    </row>
    <row r="82" spans="1:13" ht="25.5">
      <c r="A82" s="15">
        <v>78</v>
      </c>
      <c r="B82" s="15"/>
      <c r="C82" s="15" t="s">
        <v>355</v>
      </c>
      <c r="D82" s="16" t="s">
        <v>356</v>
      </c>
      <c r="E82" s="15">
        <v>5</v>
      </c>
      <c r="F82" s="15" t="str">
        <f>IFERROR(INDEX(Categories!$B$5:$B$27,MATCH(E82,Categories!$A$5:$A$27,0)),"")</f>
        <v>Custom Tools</v>
      </c>
      <c r="G82" s="15" t="s">
        <v>357</v>
      </c>
      <c r="H82" s="15" t="s">
        <v>97</v>
      </c>
      <c r="I82" s="15" t="s">
        <v>99</v>
      </c>
      <c r="J82" s="17">
        <f>IFERROR(INDEX(Rates!$D$6:$D$15,MATCH(H82&amp;"|"&amp;I82,Rates!$C$6:$C$15,0)),0)</f>
        <v>120</v>
      </c>
      <c r="K82" s="18">
        <v>15</v>
      </c>
      <c r="L82" s="17">
        <f t="shared" si="2"/>
        <v>1800</v>
      </c>
      <c r="M82" s="15" t="s">
        <v>358</v>
      </c>
    </row>
    <row r="83" spans="1:13">
      <c r="A83" s="7">
        <v>79</v>
      </c>
      <c r="B83" s="7"/>
      <c r="C83" s="7" t="s">
        <v>355</v>
      </c>
      <c r="D83" s="8" t="s">
        <v>359</v>
      </c>
      <c r="E83" s="7">
        <v>5</v>
      </c>
      <c r="F83" s="7" t="str">
        <f>IFERROR(INDEX(Categories!$B$5:$B$27,MATCH(E83,Categories!$A$5:$A$27,0)),"")</f>
        <v>Custom Tools</v>
      </c>
      <c r="G83" s="7" t="s">
        <v>360</v>
      </c>
      <c r="H83" s="7" t="s">
        <v>97</v>
      </c>
      <c r="I83" s="7" t="s">
        <v>99</v>
      </c>
      <c r="J83" s="13">
        <f>IFERROR(INDEX(Rates!$D$6:$D$15,MATCH(H83&amp;"|"&amp;I83,Rates!$C$6:$C$15,0)),0)</f>
        <v>120</v>
      </c>
      <c r="K83" s="14">
        <v>20</v>
      </c>
      <c r="L83" s="13">
        <f t="shared" si="2"/>
        <v>2400</v>
      </c>
      <c r="M83" s="7" t="s">
        <v>361</v>
      </c>
    </row>
    <row r="84" spans="1:13" ht="25.5">
      <c r="A84" s="15">
        <v>80</v>
      </c>
      <c r="B84" s="15"/>
      <c r="C84" s="15" t="s">
        <v>355</v>
      </c>
      <c r="D84" s="16" t="s">
        <v>362</v>
      </c>
      <c r="E84" s="15">
        <v>5</v>
      </c>
      <c r="F84" s="15" t="str">
        <f>IFERROR(INDEX(Categories!$B$5:$B$27,MATCH(E84,Categories!$A$5:$A$27,0)),"")</f>
        <v>Custom Tools</v>
      </c>
      <c r="G84" s="15" t="s">
        <v>363</v>
      </c>
      <c r="H84" s="15" t="s">
        <v>97</v>
      </c>
      <c r="I84" s="15" t="s">
        <v>99</v>
      </c>
      <c r="J84" s="17">
        <f>IFERROR(INDEX(Rates!$D$6:$D$15,MATCH(H84&amp;"|"&amp;I84,Rates!$C$6:$C$15,0)),0)</f>
        <v>120</v>
      </c>
      <c r="K84" s="18">
        <v>30</v>
      </c>
      <c r="L84" s="17">
        <f t="shared" si="2"/>
        <v>3600</v>
      </c>
      <c r="M84" s="15" t="s">
        <v>364</v>
      </c>
    </row>
    <row r="85" spans="1:13" ht="25.5">
      <c r="A85" s="7">
        <v>81</v>
      </c>
      <c r="B85" s="7"/>
      <c r="C85" s="7" t="s">
        <v>365</v>
      </c>
      <c r="D85" s="8" t="s">
        <v>366</v>
      </c>
      <c r="E85" s="7">
        <v>5</v>
      </c>
      <c r="F85" s="7" t="str">
        <f>IFERROR(INDEX(Categories!$B$5:$B$27,MATCH(E85,Categories!$A$5:$A$27,0)),"")</f>
        <v>Custom Tools</v>
      </c>
      <c r="G85" s="7" t="s">
        <v>367</v>
      </c>
      <c r="H85" s="7" t="s">
        <v>97</v>
      </c>
      <c r="I85" s="7" t="s">
        <v>99</v>
      </c>
      <c r="J85" s="13">
        <f>IFERROR(INDEX(Rates!$D$6:$D$15,MATCH(H85&amp;"|"&amp;I85,Rates!$C$6:$C$15,0)),0)</f>
        <v>120</v>
      </c>
      <c r="K85" s="14">
        <v>30</v>
      </c>
      <c r="L85" s="13">
        <f t="shared" si="2"/>
        <v>3600</v>
      </c>
      <c r="M85" s="7" t="s">
        <v>368</v>
      </c>
    </row>
    <row r="86" spans="1:13">
      <c r="A86" s="15">
        <v>82</v>
      </c>
      <c r="B86" s="15"/>
      <c r="C86" s="15" t="s">
        <v>365</v>
      </c>
      <c r="D86" s="16" t="s">
        <v>369</v>
      </c>
      <c r="E86" s="15">
        <v>5</v>
      </c>
      <c r="F86" s="15" t="str">
        <f>IFERROR(INDEX(Categories!$B$5:$B$27,MATCH(E86,Categories!$A$5:$A$27,0)),"")</f>
        <v>Custom Tools</v>
      </c>
      <c r="G86" s="15" t="s">
        <v>370</v>
      </c>
      <c r="H86" s="15" t="s">
        <v>97</v>
      </c>
      <c r="I86" s="15" t="s">
        <v>99</v>
      </c>
      <c r="J86" s="17">
        <f>IFERROR(INDEX(Rates!$D$6:$D$15,MATCH(H86&amp;"|"&amp;I86,Rates!$C$6:$C$15,0)),0)</f>
        <v>120</v>
      </c>
      <c r="K86" s="18">
        <v>30</v>
      </c>
      <c r="L86" s="17">
        <f t="shared" si="2"/>
        <v>3600</v>
      </c>
      <c r="M86" s="15" t="s">
        <v>371</v>
      </c>
    </row>
    <row r="87" spans="1:13">
      <c r="A87" s="7">
        <v>83</v>
      </c>
      <c r="B87" s="7"/>
      <c r="C87" s="7" t="s">
        <v>365</v>
      </c>
      <c r="D87" s="8" t="s">
        <v>372</v>
      </c>
      <c r="E87" s="7">
        <v>5</v>
      </c>
      <c r="F87" s="7" t="str">
        <f>IFERROR(INDEX(Categories!$B$5:$B$27,MATCH(E87,Categories!$A$5:$A$27,0)),"")</f>
        <v>Custom Tools</v>
      </c>
      <c r="G87" s="7" t="s">
        <v>373</v>
      </c>
      <c r="H87" s="7" t="s">
        <v>97</v>
      </c>
      <c r="I87" s="7" t="s">
        <v>99</v>
      </c>
      <c r="J87" s="13">
        <f>IFERROR(INDEX(Rates!$D$6:$D$15,MATCH(H87&amp;"|"&amp;I87,Rates!$C$6:$C$15,0)),0)</f>
        <v>120</v>
      </c>
      <c r="K87" s="14">
        <v>40</v>
      </c>
      <c r="L87" s="13">
        <f t="shared" si="2"/>
        <v>4800</v>
      </c>
      <c r="M87" s="7" t="s">
        <v>374</v>
      </c>
    </row>
    <row r="88" spans="1:13">
      <c r="A88" s="15">
        <v>84</v>
      </c>
      <c r="B88" s="15"/>
      <c r="C88" s="15" t="s">
        <v>375</v>
      </c>
      <c r="D88" s="16" t="s">
        <v>376</v>
      </c>
      <c r="E88" s="15">
        <v>5</v>
      </c>
      <c r="F88" s="15" t="str">
        <f>IFERROR(INDEX(Categories!$B$5:$B$27,MATCH(E88,Categories!$A$5:$A$27,0)),"")</f>
        <v>Custom Tools</v>
      </c>
      <c r="G88" s="15" t="s">
        <v>377</v>
      </c>
      <c r="H88" s="15" t="s">
        <v>97</v>
      </c>
      <c r="I88" s="15" t="s">
        <v>99</v>
      </c>
      <c r="J88" s="17">
        <f>IFERROR(INDEX(Rates!$D$6:$D$15,MATCH(H88&amp;"|"&amp;I88,Rates!$C$6:$C$15,0)),0)</f>
        <v>120</v>
      </c>
      <c r="K88" s="18">
        <v>40</v>
      </c>
      <c r="L88" s="17">
        <f t="shared" si="2"/>
        <v>4800</v>
      </c>
      <c r="M88" s="15" t="s">
        <v>378</v>
      </c>
    </row>
    <row r="89" spans="1:13" ht="25.5">
      <c r="A89" s="7">
        <v>85</v>
      </c>
      <c r="B89" s="7"/>
      <c r="C89" s="7" t="s">
        <v>375</v>
      </c>
      <c r="D89" s="8" t="s">
        <v>379</v>
      </c>
      <c r="E89" s="7">
        <v>5</v>
      </c>
      <c r="F89" s="7" t="str">
        <f>IFERROR(INDEX(Categories!$B$5:$B$27,MATCH(E89,Categories!$A$5:$A$27,0)),"")</f>
        <v>Custom Tools</v>
      </c>
      <c r="G89" s="7" t="s">
        <v>380</v>
      </c>
      <c r="H89" s="7" t="s">
        <v>97</v>
      </c>
      <c r="I89" s="7" t="s">
        <v>99</v>
      </c>
      <c r="J89" s="13">
        <f>IFERROR(INDEX(Rates!$D$6:$D$15,MATCH(H89&amp;"|"&amp;I89,Rates!$C$6:$C$15,0)),0)</f>
        <v>120</v>
      </c>
      <c r="K89" s="14">
        <v>50</v>
      </c>
      <c r="L89" s="13">
        <f t="shared" si="2"/>
        <v>6000</v>
      </c>
      <c r="M89" s="7" t="s">
        <v>381</v>
      </c>
    </row>
    <row r="90" spans="1:13" ht="25.5">
      <c r="A90" s="15">
        <v>86</v>
      </c>
      <c r="B90" s="15"/>
      <c r="C90" s="15" t="s">
        <v>375</v>
      </c>
      <c r="D90" s="16" t="s">
        <v>382</v>
      </c>
      <c r="E90" s="15">
        <v>5</v>
      </c>
      <c r="F90" s="15" t="str">
        <f>IFERROR(INDEX(Categories!$B$5:$B$27,MATCH(E90,Categories!$A$5:$A$27,0)),"")</f>
        <v>Custom Tools</v>
      </c>
      <c r="G90" s="15" t="s">
        <v>383</v>
      </c>
      <c r="H90" s="15" t="s">
        <v>97</v>
      </c>
      <c r="I90" s="15" t="s">
        <v>99</v>
      </c>
      <c r="J90" s="17">
        <f>IFERROR(INDEX(Rates!$D$6:$D$15,MATCH(H90&amp;"|"&amp;I90,Rates!$C$6:$C$15,0)),0)</f>
        <v>120</v>
      </c>
      <c r="K90" s="18">
        <v>55</v>
      </c>
      <c r="L90" s="17">
        <f t="shared" si="2"/>
        <v>6600</v>
      </c>
      <c r="M90" s="15" t="s">
        <v>384</v>
      </c>
    </row>
    <row r="91" spans="1:13">
      <c r="A91" s="7">
        <v>87</v>
      </c>
      <c r="B91" s="7"/>
      <c r="C91" s="7" t="s">
        <v>385</v>
      </c>
      <c r="D91" s="8" t="s">
        <v>386</v>
      </c>
      <c r="E91" s="7">
        <v>5</v>
      </c>
      <c r="F91" s="7" t="str">
        <f>IFERROR(INDEX(Categories!$B$5:$B$27,MATCH(E91,Categories!$A$5:$A$27,0)),"")</f>
        <v>Custom Tools</v>
      </c>
      <c r="G91" s="7" t="s">
        <v>387</v>
      </c>
      <c r="H91" s="7" t="s">
        <v>97</v>
      </c>
      <c r="I91" s="7" t="s">
        <v>99</v>
      </c>
      <c r="J91" s="13">
        <f>IFERROR(INDEX(Rates!$D$6:$D$15,MATCH(H91&amp;"|"&amp;I91,Rates!$C$6:$C$15,0)),0)</f>
        <v>120</v>
      </c>
      <c r="K91" s="14">
        <v>80</v>
      </c>
      <c r="L91" s="13">
        <f t="shared" si="2"/>
        <v>9600</v>
      </c>
      <c r="M91" s="7" t="s">
        <v>388</v>
      </c>
    </row>
    <row r="92" spans="1:13" ht="25.5">
      <c r="A92" s="15">
        <v>88</v>
      </c>
      <c r="B92" s="15"/>
      <c r="C92" s="15" t="s">
        <v>385</v>
      </c>
      <c r="D92" s="16" t="s">
        <v>389</v>
      </c>
      <c r="E92" s="15">
        <v>5</v>
      </c>
      <c r="F92" s="15" t="str">
        <f>IFERROR(INDEX(Categories!$B$5:$B$27,MATCH(E92,Categories!$A$5:$A$27,0)),"")</f>
        <v>Custom Tools</v>
      </c>
      <c r="G92" s="15" t="s">
        <v>390</v>
      </c>
      <c r="H92" s="15" t="s">
        <v>97</v>
      </c>
      <c r="I92" s="15" t="s">
        <v>99</v>
      </c>
      <c r="J92" s="17">
        <f>IFERROR(INDEX(Rates!$D$6:$D$15,MATCH(H92&amp;"|"&amp;I92,Rates!$C$6:$C$15,0)),0)</f>
        <v>120</v>
      </c>
      <c r="K92" s="18">
        <v>80</v>
      </c>
      <c r="L92" s="17">
        <f t="shared" si="2"/>
        <v>9600</v>
      </c>
      <c r="M92" s="15" t="s">
        <v>391</v>
      </c>
    </row>
    <row r="93" spans="1:13" ht="25.5">
      <c r="A93" s="7">
        <v>89</v>
      </c>
      <c r="B93" s="7"/>
      <c r="C93" s="7" t="s">
        <v>385</v>
      </c>
      <c r="D93" s="8" t="s">
        <v>392</v>
      </c>
      <c r="E93" s="7">
        <v>5</v>
      </c>
      <c r="F93" s="7" t="str">
        <f>IFERROR(INDEX(Categories!$B$5:$B$27,MATCH(E93,Categories!$A$5:$A$27,0)),"")</f>
        <v>Custom Tools</v>
      </c>
      <c r="G93" s="7" t="s">
        <v>393</v>
      </c>
      <c r="H93" s="7" t="s">
        <v>97</v>
      </c>
      <c r="I93" s="7" t="s">
        <v>99</v>
      </c>
      <c r="J93" s="13">
        <f>IFERROR(INDEX(Rates!$D$6:$D$15,MATCH(H93&amp;"|"&amp;I93,Rates!$C$6:$C$15,0)),0)</f>
        <v>120</v>
      </c>
      <c r="K93" s="14">
        <v>80</v>
      </c>
      <c r="L93" s="13">
        <f t="shared" si="2"/>
        <v>9600</v>
      </c>
      <c r="M93" s="7" t="s">
        <v>394</v>
      </c>
    </row>
    <row r="94" spans="1:13">
      <c r="A94" s="15">
        <v>90</v>
      </c>
      <c r="B94" s="15"/>
      <c r="C94" s="15" t="s">
        <v>385</v>
      </c>
      <c r="D94" s="16" t="s">
        <v>395</v>
      </c>
      <c r="E94" s="15">
        <v>5</v>
      </c>
      <c r="F94" s="15" t="str">
        <f>IFERROR(INDEX(Categories!$B$5:$B$27,MATCH(E94,Categories!$A$5:$A$27,0)),"")</f>
        <v>Custom Tools</v>
      </c>
      <c r="G94" s="15" t="s">
        <v>396</v>
      </c>
      <c r="H94" s="15" t="s">
        <v>97</v>
      </c>
      <c r="I94" s="15" t="s">
        <v>99</v>
      </c>
      <c r="J94" s="17">
        <f>IFERROR(INDEX(Rates!$D$6:$D$15,MATCH(H94&amp;"|"&amp;I94,Rates!$C$6:$C$15,0)),0)</f>
        <v>120</v>
      </c>
      <c r="K94" s="18">
        <v>80</v>
      </c>
      <c r="L94" s="17">
        <f t="shared" si="2"/>
        <v>9600</v>
      </c>
      <c r="M94" s="15" t="s">
        <v>397</v>
      </c>
    </row>
    <row r="95" spans="1:13" ht="25.5">
      <c r="A95" s="7">
        <v>91</v>
      </c>
      <c r="B95" s="7"/>
      <c r="C95" s="7" t="s">
        <v>398</v>
      </c>
      <c r="D95" s="8" t="s">
        <v>399</v>
      </c>
      <c r="E95" s="7">
        <v>5</v>
      </c>
      <c r="F95" s="7" t="str">
        <f>IFERROR(INDEX(Categories!$B$5:$B$27,MATCH(E95,Categories!$A$5:$A$27,0)),"")</f>
        <v>Custom Tools</v>
      </c>
      <c r="G95" s="7" t="s">
        <v>400</v>
      </c>
      <c r="H95" s="7" t="s">
        <v>97</v>
      </c>
      <c r="I95" s="7" t="s">
        <v>99</v>
      </c>
      <c r="J95" s="13">
        <f>IFERROR(INDEX(Rates!$D$6:$D$15,MATCH(H95&amp;"|"&amp;I95,Rates!$C$6:$C$15,0)),0)</f>
        <v>120</v>
      </c>
      <c r="K95" s="14">
        <v>12</v>
      </c>
      <c r="L95" s="13">
        <f t="shared" si="2"/>
        <v>1440</v>
      </c>
      <c r="M95" s="7" t="s">
        <v>401</v>
      </c>
    </row>
    <row r="96" spans="1:13">
      <c r="A96" s="15">
        <v>92</v>
      </c>
      <c r="B96" s="15"/>
      <c r="C96" s="15" t="s">
        <v>398</v>
      </c>
      <c r="D96" s="16" t="s">
        <v>402</v>
      </c>
      <c r="E96" s="15">
        <v>5</v>
      </c>
      <c r="F96" s="15" t="str">
        <f>IFERROR(INDEX(Categories!$B$5:$B$27,MATCH(E96,Categories!$A$5:$A$27,0)),"")</f>
        <v>Custom Tools</v>
      </c>
      <c r="G96" s="15" t="s">
        <v>403</v>
      </c>
      <c r="H96" s="15" t="s">
        <v>97</v>
      </c>
      <c r="I96" s="15" t="s">
        <v>99</v>
      </c>
      <c r="J96" s="17">
        <f>IFERROR(INDEX(Rates!$D$6:$D$15,MATCH(H96&amp;"|"&amp;I96,Rates!$C$6:$C$15,0)),0)</f>
        <v>120</v>
      </c>
      <c r="K96" s="18">
        <v>15</v>
      </c>
      <c r="L96" s="17">
        <f t="shared" si="2"/>
        <v>1800</v>
      </c>
      <c r="M96" s="15" t="s">
        <v>404</v>
      </c>
    </row>
    <row r="97" spans="1:13">
      <c r="A97" s="7">
        <v>93</v>
      </c>
      <c r="B97" s="7"/>
      <c r="C97" s="7" t="s">
        <v>398</v>
      </c>
      <c r="D97" s="8" t="s">
        <v>405</v>
      </c>
      <c r="E97" s="7">
        <v>5</v>
      </c>
      <c r="F97" s="7" t="str">
        <f>IFERROR(INDEX(Categories!$B$5:$B$27,MATCH(E97,Categories!$A$5:$A$27,0)),"")</f>
        <v>Custom Tools</v>
      </c>
      <c r="G97" s="7" t="s">
        <v>406</v>
      </c>
      <c r="H97" s="7" t="s">
        <v>97</v>
      </c>
      <c r="I97" s="7" t="s">
        <v>99</v>
      </c>
      <c r="J97" s="13">
        <f>IFERROR(INDEX(Rates!$D$6:$D$15,MATCH(H97&amp;"|"&amp;I97,Rates!$C$6:$C$15,0)),0)</f>
        <v>120</v>
      </c>
      <c r="K97" s="14">
        <v>12</v>
      </c>
      <c r="L97" s="13">
        <f t="shared" si="2"/>
        <v>1440</v>
      </c>
      <c r="M97" s="7"/>
    </row>
    <row r="98" spans="1:13">
      <c r="A98" s="15">
        <v>94</v>
      </c>
      <c r="B98" s="15"/>
      <c r="C98" s="15" t="s">
        <v>398</v>
      </c>
      <c r="D98" s="16" t="s">
        <v>407</v>
      </c>
      <c r="E98" s="15">
        <v>5</v>
      </c>
      <c r="F98" s="15" t="str">
        <f>IFERROR(INDEX(Categories!$B$5:$B$27,MATCH(E98,Categories!$A$5:$A$27,0)),"")</f>
        <v>Custom Tools</v>
      </c>
      <c r="G98" s="15" t="s">
        <v>408</v>
      </c>
      <c r="H98" s="15" t="s">
        <v>97</v>
      </c>
      <c r="I98" s="15" t="s">
        <v>99</v>
      </c>
      <c r="J98" s="17">
        <f>IFERROR(INDEX(Rates!$D$6:$D$15,MATCH(H98&amp;"|"&amp;I98,Rates!$C$6:$C$15,0)),0)</f>
        <v>120</v>
      </c>
      <c r="K98" s="18">
        <v>44</v>
      </c>
      <c r="L98" s="17">
        <f t="shared" si="2"/>
        <v>5280</v>
      </c>
      <c r="M98" s="15" t="s">
        <v>409</v>
      </c>
    </row>
    <row r="99" spans="1:13" ht="25.5">
      <c r="A99" s="7">
        <v>95</v>
      </c>
      <c r="B99" s="7"/>
      <c r="C99" s="7" t="s">
        <v>80</v>
      </c>
      <c r="D99" s="8" t="s">
        <v>410</v>
      </c>
      <c r="E99" s="7">
        <v>18</v>
      </c>
      <c r="F99" s="7" t="str">
        <f>IFERROR(INDEX(Categories!$B$5:$B$27,MATCH(E99,Categories!$A$5:$A$27,0)),"")</f>
        <v>Performance &amp; Security</v>
      </c>
      <c r="G99" s="7" t="s">
        <v>411</v>
      </c>
      <c r="H99" s="7" t="s">
        <v>97</v>
      </c>
      <c r="I99" s="7" t="s">
        <v>98</v>
      </c>
      <c r="J99" s="13">
        <f>IFERROR(INDEX(Rates!$D$6:$D$15,MATCH(H99&amp;"|"&amp;I99,Rates!$C$6:$C$15,0)),0)</f>
        <v>100</v>
      </c>
      <c r="K99" s="14">
        <v>1</v>
      </c>
      <c r="L99" s="13">
        <f t="shared" si="2"/>
        <v>100</v>
      </c>
      <c r="M99" s="7" t="s">
        <v>412</v>
      </c>
    </row>
    <row r="100" spans="1:13" ht="38.25">
      <c r="A100" s="15">
        <v>96</v>
      </c>
      <c r="B100" s="15"/>
      <c r="C100" s="15" t="s">
        <v>80</v>
      </c>
      <c r="D100" s="16" t="s">
        <v>413</v>
      </c>
      <c r="E100" s="15">
        <v>18</v>
      </c>
      <c r="F100" s="15" t="str">
        <f>IFERROR(INDEX(Categories!$B$5:$B$27,MATCH(E100,Categories!$A$5:$A$27,0)),"")</f>
        <v>Performance &amp; Security</v>
      </c>
      <c r="G100" s="15" t="s">
        <v>414</v>
      </c>
      <c r="H100" s="15" t="s">
        <v>97</v>
      </c>
      <c r="I100" s="15" t="s">
        <v>99</v>
      </c>
      <c r="J100" s="17">
        <f>IFERROR(INDEX(Rates!$D$6:$D$15,MATCH(H100&amp;"|"&amp;I100,Rates!$C$6:$C$15,0)),0)</f>
        <v>120</v>
      </c>
      <c r="K100" s="18">
        <v>8</v>
      </c>
      <c r="L100" s="17">
        <f t="shared" si="2"/>
        <v>960</v>
      </c>
      <c r="M100" s="15" t="s">
        <v>415</v>
      </c>
    </row>
    <row r="101" spans="1:13" ht="25.5">
      <c r="A101" s="7">
        <v>97</v>
      </c>
      <c r="B101" s="7"/>
      <c r="C101" s="7" t="s">
        <v>80</v>
      </c>
      <c r="D101" s="8" t="s">
        <v>416</v>
      </c>
      <c r="E101" s="7">
        <v>18</v>
      </c>
      <c r="F101" s="7" t="str">
        <f>IFERROR(INDEX(Categories!$B$5:$B$27,MATCH(E101,Categories!$A$5:$A$27,0)),"")</f>
        <v>Performance &amp; Security</v>
      </c>
      <c r="G101" s="7" t="s">
        <v>417</v>
      </c>
      <c r="H101" s="7" t="s">
        <v>97</v>
      </c>
      <c r="I101" s="7" t="s">
        <v>98</v>
      </c>
      <c r="J101" s="13">
        <f>IFERROR(INDEX(Rates!$D$6:$D$15,MATCH(H101&amp;"|"&amp;I101,Rates!$C$6:$C$15,0)),0)</f>
        <v>100</v>
      </c>
      <c r="K101" s="14">
        <v>2</v>
      </c>
      <c r="L101" s="13">
        <f t="shared" ref="L101:L132" si="3">K101*J101</f>
        <v>200</v>
      </c>
      <c r="M101" s="7" t="s">
        <v>418</v>
      </c>
    </row>
    <row r="102" spans="1:13" ht="25.5">
      <c r="A102" s="15">
        <v>98</v>
      </c>
      <c r="B102" s="15"/>
      <c r="C102" s="15" t="s">
        <v>419</v>
      </c>
      <c r="D102" s="16" t="s">
        <v>420</v>
      </c>
      <c r="E102" s="15">
        <v>4</v>
      </c>
      <c r="F102" s="15" t="str">
        <f>IFERROR(INDEX(Categories!$B$5:$B$27,MATCH(E102,Categories!$A$5:$A$27,0)),"")</f>
        <v>Conversion Tracking</v>
      </c>
      <c r="G102" s="15" t="s">
        <v>421</v>
      </c>
      <c r="H102" s="15" t="s">
        <v>97</v>
      </c>
      <c r="I102" s="15" t="s">
        <v>98</v>
      </c>
      <c r="J102" s="17">
        <f>IFERROR(INDEX(Rates!$D$6:$D$15,MATCH(H102&amp;"|"&amp;I102,Rates!$C$6:$C$15,0)),0)</f>
        <v>100</v>
      </c>
      <c r="K102" s="18">
        <v>2</v>
      </c>
      <c r="L102" s="17">
        <f t="shared" si="3"/>
        <v>200</v>
      </c>
      <c r="M102" s="15" t="s">
        <v>422</v>
      </c>
    </row>
    <row r="103" spans="1:13">
      <c r="A103" s="7">
        <v>99</v>
      </c>
      <c r="B103" s="7"/>
      <c r="C103" s="7" t="s">
        <v>419</v>
      </c>
      <c r="D103" s="8" t="s">
        <v>423</v>
      </c>
      <c r="E103" s="7">
        <v>4</v>
      </c>
      <c r="F103" s="7" t="str">
        <f>IFERROR(INDEX(Categories!$B$5:$B$27,MATCH(E103,Categories!$A$5:$A$27,0)),"")</f>
        <v>Conversion Tracking</v>
      </c>
      <c r="G103" s="7" t="s">
        <v>424</v>
      </c>
      <c r="H103" s="7" t="s">
        <v>97</v>
      </c>
      <c r="I103" s="7" t="s">
        <v>98</v>
      </c>
      <c r="J103" s="13">
        <f>IFERROR(INDEX(Rates!$D$6:$D$15,MATCH(H103&amp;"|"&amp;I103,Rates!$C$6:$C$15,0)),0)</f>
        <v>100</v>
      </c>
      <c r="K103" s="14">
        <v>3</v>
      </c>
      <c r="L103" s="13">
        <f t="shared" si="3"/>
        <v>300</v>
      </c>
      <c r="M103" s="7" t="s">
        <v>425</v>
      </c>
    </row>
    <row r="104" spans="1:13" ht="25.5">
      <c r="A104" s="15">
        <v>100</v>
      </c>
      <c r="B104" s="15"/>
      <c r="C104" s="15" t="s">
        <v>419</v>
      </c>
      <c r="D104" s="16" t="s">
        <v>426</v>
      </c>
      <c r="E104" s="15">
        <v>4</v>
      </c>
      <c r="F104" s="15" t="str">
        <f>IFERROR(INDEX(Categories!$B$5:$B$27,MATCH(E104,Categories!$A$5:$A$27,0)),"")</f>
        <v>Conversion Tracking</v>
      </c>
      <c r="G104" s="15" t="s">
        <v>427</v>
      </c>
      <c r="H104" s="15" t="s">
        <v>97</v>
      </c>
      <c r="I104" s="15" t="s">
        <v>98</v>
      </c>
      <c r="J104" s="17">
        <f>IFERROR(INDEX(Rates!$D$6:$D$15,MATCH(H104&amp;"|"&amp;I104,Rates!$C$6:$C$15,0)),0)</f>
        <v>100</v>
      </c>
      <c r="K104" s="18">
        <v>1</v>
      </c>
      <c r="L104" s="17">
        <f t="shared" si="3"/>
        <v>100</v>
      </c>
      <c r="M104" s="15" t="s">
        <v>428</v>
      </c>
    </row>
    <row r="105" spans="1:13">
      <c r="A105" s="7">
        <v>101</v>
      </c>
      <c r="B105" s="7"/>
      <c r="C105" s="7" t="s">
        <v>429</v>
      </c>
      <c r="D105" s="8" t="s">
        <v>430</v>
      </c>
      <c r="E105" s="7">
        <v>22</v>
      </c>
      <c r="F105" s="7" t="str">
        <f>IFERROR(INDEX(Categories!$B$5:$B$27,MATCH(E105,Categories!$A$5:$A$27,0)),"")</f>
        <v>SEO &amp; Content</v>
      </c>
      <c r="G105" s="7" t="s">
        <v>431</v>
      </c>
      <c r="H105" s="7" t="s">
        <v>97</v>
      </c>
      <c r="I105" s="7" t="s">
        <v>98</v>
      </c>
      <c r="J105" s="13">
        <f>IFERROR(INDEX(Rates!$D$6:$D$15,MATCH(H105&amp;"|"&amp;I105,Rates!$C$6:$C$15,0)),0)</f>
        <v>100</v>
      </c>
      <c r="K105" s="14">
        <v>2</v>
      </c>
      <c r="L105" s="13">
        <f t="shared" si="3"/>
        <v>200</v>
      </c>
      <c r="M105" s="7" t="s">
        <v>432</v>
      </c>
    </row>
    <row r="106" spans="1:13">
      <c r="A106" s="15">
        <v>102</v>
      </c>
      <c r="B106" s="15"/>
      <c r="C106" s="15" t="s">
        <v>429</v>
      </c>
      <c r="D106" s="16" t="s">
        <v>433</v>
      </c>
      <c r="E106" s="15">
        <v>22</v>
      </c>
      <c r="F106" s="15" t="str">
        <f>IFERROR(INDEX(Categories!$B$5:$B$27,MATCH(E106,Categories!$A$5:$A$27,0)),"")</f>
        <v>SEO &amp; Content</v>
      </c>
      <c r="G106" s="15" t="s">
        <v>434</v>
      </c>
      <c r="H106" s="15" t="s">
        <v>97</v>
      </c>
      <c r="I106" s="15" t="s">
        <v>98</v>
      </c>
      <c r="J106" s="17">
        <f>IFERROR(INDEX(Rates!$D$6:$D$15,MATCH(H106&amp;"|"&amp;I106,Rates!$C$6:$C$15,0)),0)</f>
        <v>100</v>
      </c>
      <c r="K106" s="18">
        <v>2</v>
      </c>
      <c r="L106" s="17">
        <f t="shared" si="3"/>
        <v>200</v>
      </c>
      <c r="M106" s="15" t="s">
        <v>435</v>
      </c>
    </row>
    <row r="107" spans="1:13" ht="25.5">
      <c r="A107" s="7">
        <v>103</v>
      </c>
      <c r="B107" s="7"/>
      <c r="C107" s="7" t="s">
        <v>429</v>
      </c>
      <c r="D107" s="8" t="s">
        <v>436</v>
      </c>
      <c r="E107" s="7">
        <v>22</v>
      </c>
      <c r="F107" s="7" t="str">
        <f>IFERROR(INDEX(Categories!$B$5:$B$27,MATCH(E107,Categories!$A$5:$A$27,0)),"")</f>
        <v>SEO &amp; Content</v>
      </c>
      <c r="G107" s="7" t="s">
        <v>437</v>
      </c>
      <c r="H107" s="7" t="s">
        <v>97</v>
      </c>
      <c r="I107" s="7" t="s">
        <v>98</v>
      </c>
      <c r="J107" s="13">
        <f>IFERROR(INDEX(Rates!$D$6:$D$15,MATCH(H107&amp;"|"&amp;I107,Rates!$C$6:$C$15,0)),0)</f>
        <v>100</v>
      </c>
      <c r="K107" s="14">
        <v>2</v>
      </c>
      <c r="L107" s="13">
        <f t="shared" si="3"/>
        <v>200</v>
      </c>
      <c r="M107" s="7" t="s">
        <v>438</v>
      </c>
    </row>
    <row r="108" spans="1:13" ht="25.5">
      <c r="A108" s="15">
        <v>104</v>
      </c>
      <c r="B108" s="15"/>
      <c r="C108" s="15" t="s">
        <v>84</v>
      </c>
      <c r="D108" s="16" t="s">
        <v>439</v>
      </c>
      <c r="E108" s="15">
        <v>22</v>
      </c>
      <c r="F108" s="15" t="str">
        <f>IFERROR(INDEX(Categories!$B$5:$B$27,MATCH(E108,Categories!$A$5:$A$27,0)),"")</f>
        <v>SEO &amp; Content</v>
      </c>
      <c r="G108" s="15" t="s">
        <v>440</v>
      </c>
      <c r="H108" s="15" t="s">
        <v>97</v>
      </c>
      <c r="I108" s="15" t="s">
        <v>98</v>
      </c>
      <c r="J108" s="17">
        <f>IFERROR(INDEX(Rates!$D$6:$D$15,MATCH(H108&amp;"|"&amp;I108,Rates!$C$6:$C$15,0)),0)</f>
        <v>100</v>
      </c>
      <c r="K108" s="18">
        <v>3</v>
      </c>
      <c r="L108" s="17">
        <f t="shared" si="3"/>
        <v>300</v>
      </c>
      <c r="M108" s="15" t="s">
        <v>441</v>
      </c>
    </row>
    <row r="109" spans="1:13" ht="25.5">
      <c r="A109" s="7">
        <v>105</v>
      </c>
      <c r="B109" s="7"/>
      <c r="C109" s="7" t="s">
        <v>84</v>
      </c>
      <c r="D109" s="8" t="s">
        <v>442</v>
      </c>
      <c r="E109" s="7">
        <v>24</v>
      </c>
      <c r="F109" s="7" t="str">
        <f>IFERROR(INDEX(Categories!$B$5:$B$27,MATCH(E109,Categories!$A$5:$A$27,0)),"")</f>
        <v>SEO on-page</v>
      </c>
      <c r="G109" s="7" t="s">
        <v>443</v>
      </c>
      <c r="H109" s="7" t="s">
        <v>97</v>
      </c>
      <c r="I109" s="7" t="s">
        <v>99</v>
      </c>
      <c r="J109" s="13">
        <f>IFERROR(INDEX(Rates!$D$6:$D$15,MATCH(H109&amp;"|"&amp;I109,Rates!$C$6:$C$15,0)),0)</f>
        <v>120</v>
      </c>
      <c r="K109" s="14">
        <v>3</v>
      </c>
      <c r="L109" s="13">
        <f t="shared" si="3"/>
        <v>360</v>
      </c>
      <c r="M109" s="7" t="s">
        <v>444</v>
      </c>
    </row>
    <row r="110" spans="1:13">
      <c r="A110" s="15">
        <v>106</v>
      </c>
      <c r="B110" s="15"/>
      <c r="C110" s="15" t="s">
        <v>84</v>
      </c>
      <c r="D110" s="16" t="s">
        <v>445</v>
      </c>
      <c r="E110" s="15">
        <v>24</v>
      </c>
      <c r="F110" s="15" t="str">
        <f>IFERROR(INDEX(Categories!$B$5:$B$27,MATCH(E110,Categories!$A$5:$A$27,0)),"")</f>
        <v>SEO on-page</v>
      </c>
      <c r="G110" s="15" t="s">
        <v>446</v>
      </c>
      <c r="H110" s="15" t="s">
        <v>97</v>
      </c>
      <c r="I110" s="15" t="s">
        <v>98</v>
      </c>
      <c r="J110" s="17">
        <f>IFERROR(INDEX(Rates!$D$6:$D$15,MATCH(H110&amp;"|"&amp;I110,Rates!$C$6:$C$15,0)),0)</f>
        <v>100</v>
      </c>
      <c r="K110" s="18">
        <v>1</v>
      </c>
      <c r="L110" s="17">
        <f t="shared" si="3"/>
        <v>100</v>
      </c>
      <c r="M110" s="15"/>
    </row>
    <row r="111" spans="1:13">
      <c r="A111" s="7">
        <v>107</v>
      </c>
      <c r="B111" s="7"/>
      <c r="C111" s="7" t="s">
        <v>84</v>
      </c>
      <c r="D111" s="8" t="s">
        <v>447</v>
      </c>
      <c r="E111" s="7">
        <v>24</v>
      </c>
      <c r="F111" s="7" t="str">
        <f>IFERROR(INDEX(Categories!$B$5:$B$27,MATCH(E111,Categories!$A$5:$A$27,0)),"")</f>
        <v>SEO on-page</v>
      </c>
      <c r="G111" s="7" t="s">
        <v>448</v>
      </c>
      <c r="H111" s="7" t="s">
        <v>97</v>
      </c>
      <c r="I111" s="7" t="s">
        <v>98</v>
      </c>
      <c r="J111" s="13">
        <f>IFERROR(INDEX(Rates!$D$6:$D$15,MATCH(H111&amp;"|"&amp;I111,Rates!$C$6:$C$15,0)),0)</f>
        <v>100</v>
      </c>
      <c r="K111" s="14">
        <v>1</v>
      </c>
      <c r="L111" s="13">
        <f t="shared" si="3"/>
        <v>100</v>
      </c>
      <c r="M111" s="7"/>
    </row>
    <row r="112" spans="1:13" ht="25.5">
      <c r="A112" s="15">
        <v>108</v>
      </c>
      <c r="B112" s="15"/>
      <c r="C112" s="15" t="s">
        <v>84</v>
      </c>
      <c r="D112" s="16" t="s">
        <v>449</v>
      </c>
      <c r="E112" s="15">
        <v>22</v>
      </c>
      <c r="F112" s="15" t="str">
        <f>IFERROR(INDEX(Categories!$B$5:$B$27,MATCH(E112,Categories!$A$5:$A$27,0)),"")</f>
        <v>SEO &amp; Content</v>
      </c>
      <c r="G112" s="15" t="s">
        <v>450</v>
      </c>
      <c r="H112" s="15" t="s">
        <v>100</v>
      </c>
      <c r="I112" s="15" t="s">
        <v>98</v>
      </c>
      <c r="J112" s="17">
        <f>IFERROR(INDEX(Rates!$D$6:$D$15,MATCH(H112&amp;"|"&amp;I112,Rates!$C$6:$C$15,0)),0)</f>
        <v>100</v>
      </c>
      <c r="K112" s="18">
        <v>3</v>
      </c>
      <c r="L112" s="17">
        <f t="shared" si="3"/>
        <v>300</v>
      </c>
      <c r="M112" s="15" t="s">
        <v>451</v>
      </c>
    </row>
    <row r="113" spans="1:13" ht="25.5">
      <c r="A113" s="7">
        <v>109</v>
      </c>
      <c r="B113" s="7"/>
      <c r="C113" s="7" t="s">
        <v>84</v>
      </c>
      <c r="D113" s="8" t="s">
        <v>452</v>
      </c>
      <c r="E113" s="7">
        <v>22</v>
      </c>
      <c r="F113" s="7" t="str">
        <f>IFERROR(INDEX(Categories!$B$5:$B$27,MATCH(E113,Categories!$A$5:$A$27,0)),"")</f>
        <v>SEO &amp; Content</v>
      </c>
      <c r="G113" s="7" t="s">
        <v>453</v>
      </c>
      <c r="H113" s="7" t="s">
        <v>100</v>
      </c>
      <c r="I113" s="7" t="s">
        <v>99</v>
      </c>
      <c r="J113" s="13">
        <f>IFERROR(INDEX(Rates!$D$6:$D$15,MATCH(H113&amp;"|"&amp;I113,Rates!$C$6:$C$15,0)),0)</f>
        <v>130</v>
      </c>
      <c r="K113" s="14">
        <v>6</v>
      </c>
      <c r="L113" s="13">
        <f t="shared" si="3"/>
        <v>780</v>
      </c>
      <c r="M113" s="7" t="s">
        <v>454</v>
      </c>
    </row>
    <row r="114" spans="1:13" ht="25.5">
      <c r="A114" s="15">
        <v>110</v>
      </c>
      <c r="B114" s="15"/>
      <c r="C114" s="15" t="s">
        <v>84</v>
      </c>
      <c r="D114" s="16" t="s">
        <v>455</v>
      </c>
      <c r="E114" s="15">
        <v>24</v>
      </c>
      <c r="F114" s="15" t="str">
        <f>IFERROR(INDEX(Categories!$B$5:$B$27,MATCH(E114,Categories!$A$5:$A$27,0)),"")</f>
        <v>SEO on-page</v>
      </c>
      <c r="G114" s="15" t="s">
        <v>456</v>
      </c>
      <c r="H114" s="15" t="s">
        <v>97</v>
      </c>
      <c r="I114" s="15" t="s">
        <v>98</v>
      </c>
      <c r="J114" s="17">
        <f>IFERROR(INDEX(Rates!$D$6:$D$15,MATCH(H114&amp;"|"&amp;I114,Rates!$C$6:$C$15,0)),0)</f>
        <v>100</v>
      </c>
      <c r="K114" s="18">
        <v>2</v>
      </c>
      <c r="L114" s="17">
        <f t="shared" si="3"/>
        <v>200</v>
      </c>
      <c r="M114" s="15" t="s">
        <v>457</v>
      </c>
    </row>
    <row r="115" spans="1:13" ht="38.25">
      <c r="A115" s="7">
        <v>111</v>
      </c>
      <c r="B115" s="7"/>
      <c r="C115" s="7" t="s">
        <v>84</v>
      </c>
      <c r="D115" s="8" t="s">
        <v>458</v>
      </c>
      <c r="E115" s="7">
        <v>18</v>
      </c>
      <c r="F115" s="7" t="str">
        <f>IFERROR(INDEX(Categories!$B$5:$B$27,MATCH(E115,Categories!$A$5:$A$27,0)),"")</f>
        <v>Performance &amp; Security</v>
      </c>
      <c r="G115" s="7" t="s">
        <v>459</v>
      </c>
      <c r="H115" s="7" t="s">
        <v>97</v>
      </c>
      <c r="I115" s="7" t="s">
        <v>99</v>
      </c>
      <c r="J115" s="13">
        <f>IFERROR(INDEX(Rates!$D$6:$D$15,MATCH(H115&amp;"|"&amp;I115,Rates!$C$6:$C$15,0)),0)</f>
        <v>120</v>
      </c>
      <c r="K115" s="14">
        <v>6</v>
      </c>
      <c r="L115" s="13">
        <f t="shared" si="3"/>
        <v>720</v>
      </c>
      <c r="M115" s="7" t="s">
        <v>460</v>
      </c>
    </row>
    <row r="116" spans="1:13" ht="25.5">
      <c r="A116" s="15">
        <v>112</v>
      </c>
      <c r="B116" s="15"/>
      <c r="C116" s="15" t="s">
        <v>419</v>
      </c>
      <c r="D116" s="16" t="s">
        <v>461</v>
      </c>
      <c r="E116" s="15">
        <v>4</v>
      </c>
      <c r="F116" s="15" t="str">
        <f>IFERROR(INDEX(Categories!$B$5:$B$27,MATCH(E116,Categories!$A$5:$A$27,0)),"")</f>
        <v>Conversion Tracking</v>
      </c>
      <c r="G116" s="15" t="s">
        <v>462</v>
      </c>
      <c r="H116" s="15" t="s">
        <v>97</v>
      </c>
      <c r="I116" s="15" t="s">
        <v>99</v>
      </c>
      <c r="J116" s="17">
        <f>IFERROR(INDEX(Rates!$D$6:$D$15,MATCH(H116&amp;"|"&amp;I116,Rates!$C$6:$C$15,0)),0)</f>
        <v>120</v>
      </c>
      <c r="K116" s="18">
        <v>8</v>
      </c>
      <c r="L116" s="17">
        <f t="shared" si="3"/>
        <v>960</v>
      </c>
      <c r="M116" s="15" t="s">
        <v>463</v>
      </c>
    </row>
    <row r="117" spans="1:13" ht="25.5">
      <c r="A117" s="7">
        <v>113</v>
      </c>
      <c r="B117" s="7"/>
      <c r="C117" s="7" t="s">
        <v>419</v>
      </c>
      <c r="D117" s="8" t="s">
        <v>464</v>
      </c>
      <c r="E117" s="7">
        <v>4</v>
      </c>
      <c r="F117" s="7" t="str">
        <f>IFERROR(INDEX(Categories!$B$5:$B$27,MATCH(E117,Categories!$A$5:$A$27,0)),"")</f>
        <v>Conversion Tracking</v>
      </c>
      <c r="G117" s="7" t="s">
        <v>465</v>
      </c>
      <c r="H117" s="7" t="s">
        <v>97</v>
      </c>
      <c r="I117" s="7" t="s">
        <v>98</v>
      </c>
      <c r="J117" s="13">
        <f>IFERROR(INDEX(Rates!$D$6:$D$15,MATCH(H117&amp;"|"&amp;I117,Rates!$C$6:$C$15,0)),0)</f>
        <v>100</v>
      </c>
      <c r="K117" s="14">
        <v>6</v>
      </c>
      <c r="L117" s="13">
        <f t="shared" si="3"/>
        <v>600</v>
      </c>
      <c r="M117" s="7" t="s">
        <v>466</v>
      </c>
    </row>
    <row r="118" spans="1:13" ht="89.25">
      <c r="A118" s="15">
        <v>114</v>
      </c>
      <c r="B118" s="15"/>
      <c r="C118" s="15" t="s">
        <v>70</v>
      </c>
      <c r="D118" s="16" t="s">
        <v>467</v>
      </c>
      <c r="E118" s="15">
        <v>13</v>
      </c>
      <c r="F118" s="15" t="str">
        <f>IFERROR(INDEX(Categories!$B$5:$B$27,MATCH(E118,Categories!$A$5:$A$27,0)),"")</f>
        <v>Environment Setup</v>
      </c>
      <c r="G118" s="15" t="s">
        <v>468</v>
      </c>
      <c r="H118" s="15" t="s">
        <v>97</v>
      </c>
      <c r="I118" s="15" t="s">
        <v>99</v>
      </c>
      <c r="J118" s="17">
        <f>IFERROR(INDEX(Rates!$D$6:$D$15,MATCH(H118&amp;"|"&amp;I118,Rates!$C$6:$C$15,0)),0)</f>
        <v>120</v>
      </c>
      <c r="K118" s="18">
        <v>3</v>
      </c>
      <c r="L118" s="17">
        <f t="shared" si="3"/>
        <v>360</v>
      </c>
      <c r="M118" s="15" t="s">
        <v>469</v>
      </c>
    </row>
    <row r="119" spans="1:13" ht="38.25">
      <c r="A119" s="7">
        <v>115</v>
      </c>
      <c r="B119" s="7"/>
      <c r="C119" s="7" t="s">
        <v>70</v>
      </c>
      <c r="D119" s="8" t="s">
        <v>470</v>
      </c>
      <c r="E119" s="7">
        <v>13</v>
      </c>
      <c r="F119" s="7" t="str">
        <f>IFERROR(INDEX(Categories!$B$5:$B$27,MATCH(E119,Categories!$A$5:$A$27,0)),"")</f>
        <v>Environment Setup</v>
      </c>
      <c r="G119" s="7" t="s">
        <v>471</v>
      </c>
      <c r="H119" s="7" t="s">
        <v>97</v>
      </c>
      <c r="I119" s="7" t="s">
        <v>98</v>
      </c>
      <c r="J119" s="13">
        <f>IFERROR(INDEX(Rates!$D$6:$D$15,MATCH(H119&amp;"|"&amp;I119,Rates!$C$6:$C$15,0)),0)</f>
        <v>100</v>
      </c>
      <c r="K119" s="14">
        <v>2</v>
      </c>
      <c r="L119" s="13">
        <f t="shared" si="3"/>
        <v>200</v>
      </c>
      <c r="M119" s="7"/>
    </row>
    <row r="120" spans="1:13" ht="25.5">
      <c r="A120" s="15">
        <v>116</v>
      </c>
      <c r="B120" s="15" t="s">
        <v>472</v>
      </c>
      <c r="C120" s="15" t="s">
        <v>70</v>
      </c>
      <c r="D120" s="16" t="s">
        <v>473</v>
      </c>
      <c r="E120" s="15">
        <v>13</v>
      </c>
      <c r="F120" s="15" t="str">
        <f>IFERROR(INDEX(Categories!$B$5:$B$27,MATCH(E120,Categories!$A$5:$A$27,0)),"")</f>
        <v>Environment Setup</v>
      </c>
      <c r="G120" s="15" t="s">
        <v>474</v>
      </c>
      <c r="H120" s="15" t="s">
        <v>97</v>
      </c>
      <c r="I120" s="15" t="s">
        <v>98</v>
      </c>
      <c r="J120" s="17">
        <f>IFERROR(INDEX(Rates!$D$6:$D$15,MATCH(H120&amp;"|"&amp;I120,Rates!$C$6:$C$15,0)),0)</f>
        <v>100</v>
      </c>
      <c r="K120" s="18">
        <v>3</v>
      </c>
      <c r="L120" s="17">
        <f t="shared" si="3"/>
        <v>300</v>
      </c>
      <c r="M120" s="15" t="s">
        <v>475</v>
      </c>
    </row>
    <row r="121" spans="1:13" ht="38.25">
      <c r="A121" s="7">
        <v>117</v>
      </c>
      <c r="B121" s="7" t="s">
        <v>472</v>
      </c>
      <c r="C121" s="7" t="s">
        <v>70</v>
      </c>
      <c r="D121" s="8" t="s">
        <v>476</v>
      </c>
      <c r="E121" s="7">
        <v>13</v>
      </c>
      <c r="F121" s="7" t="str">
        <f>IFERROR(INDEX(Categories!$B$5:$B$27,MATCH(E121,Categories!$A$5:$A$27,0)),"")</f>
        <v>Environment Setup</v>
      </c>
      <c r="G121" s="7" t="s">
        <v>477</v>
      </c>
      <c r="H121" s="7" t="s">
        <v>97</v>
      </c>
      <c r="I121" s="7" t="s">
        <v>98</v>
      </c>
      <c r="J121" s="13">
        <f>IFERROR(INDEX(Rates!$D$6:$D$15,MATCH(H121&amp;"|"&amp;I121,Rates!$C$6:$C$15,0)),0)</f>
        <v>100</v>
      </c>
      <c r="K121" s="14">
        <v>3</v>
      </c>
      <c r="L121" s="13">
        <f t="shared" si="3"/>
        <v>300</v>
      </c>
      <c r="M121" s="7" t="s">
        <v>478</v>
      </c>
    </row>
    <row r="122" spans="1:13" ht="25.5">
      <c r="A122" s="15">
        <v>118</v>
      </c>
      <c r="B122" s="15"/>
      <c r="C122" s="15" t="s">
        <v>70</v>
      </c>
      <c r="D122" s="16" t="s">
        <v>479</v>
      </c>
      <c r="E122" s="15">
        <v>13</v>
      </c>
      <c r="F122" s="15" t="str">
        <f>IFERROR(INDEX(Categories!$B$5:$B$27,MATCH(E122,Categories!$A$5:$A$27,0)),"")</f>
        <v>Environment Setup</v>
      </c>
      <c r="G122" s="15" t="s">
        <v>480</v>
      </c>
      <c r="H122" s="15" t="s">
        <v>97</v>
      </c>
      <c r="I122" s="15" t="s">
        <v>98</v>
      </c>
      <c r="J122" s="17">
        <f>IFERROR(INDEX(Rates!$D$6:$D$15,MATCH(H122&amp;"|"&amp;I122,Rates!$C$6:$C$15,0)),0)</f>
        <v>100</v>
      </c>
      <c r="K122" s="18">
        <v>2</v>
      </c>
      <c r="L122" s="17">
        <f t="shared" si="3"/>
        <v>200</v>
      </c>
      <c r="M122" s="15" t="s">
        <v>481</v>
      </c>
    </row>
    <row r="123" spans="1:13" ht="25.5">
      <c r="A123" s="7">
        <v>119</v>
      </c>
      <c r="B123" s="7"/>
      <c r="C123" s="7" t="s">
        <v>70</v>
      </c>
      <c r="D123" s="8" t="s">
        <v>482</v>
      </c>
      <c r="E123" s="7">
        <v>13</v>
      </c>
      <c r="F123" s="7" t="str">
        <f>IFERROR(INDEX(Categories!$B$5:$B$27,MATCH(E123,Categories!$A$5:$A$27,0)),"")</f>
        <v>Environment Setup</v>
      </c>
      <c r="G123" s="7" t="s">
        <v>483</v>
      </c>
      <c r="H123" s="7" t="s">
        <v>97</v>
      </c>
      <c r="I123" s="7" t="s">
        <v>99</v>
      </c>
      <c r="J123" s="13">
        <f>IFERROR(INDEX(Rates!$D$6:$D$15,MATCH(H123&amp;"|"&amp;I123,Rates!$C$6:$C$15,0)),0)</f>
        <v>120</v>
      </c>
      <c r="K123" s="14">
        <v>3</v>
      </c>
      <c r="L123" s="13">
        <f t="shared" si="3"/>
        <v>360</v>
      </c>
      <c r="M123" s="7" t="s">
        <v>484</v>
      </c>
    </row>
    <row r="124" spans="1:13" ht="38.25">
      <c r="A124" s="15">
        <v>120</v>
      </c>
      <c r="B124" s="15"/>
      <c r="C124" s="15" t="s">
        <v>70</v>
      </c>
      <c r="D124" s="16" t="s">
        <v>485</v>
      </c>
      <c r="E124" s="15">
        <v>13</v>
      </c>
      <c r="F124" s="15" t="str">
        <f>IFERROR(INDEX(Categories!$B$5:$B$27,MATCH(E124,Categories!$A$5:$A$27,0)),"")</f>
        <v>Environment Setup</v>
      </c>
      <c r="G124" s="15" t="s">
        <v>486</v>
      </c>
      <c r="H124" s="15" t="s">
        <v>97</v>
      </c>
      <c r="I124" s="15" t="s">
        <v>99</v>
      </c>
      <c r="J124" s="17">
        <f>IFERROR(INDEX(Rates!$D$6:$D$15,MATCH(H124&amp;"|"&amp;I124,Rates!$C$6:$C$15,0)),0)</f>
        <v>120</v>
      </c>
      <c r="K124" s="18">
        <v>2</v>
      </c>
      <c r="L124" s="17">
        <f t="shared" si="3"/>
        <v>240</v>
      </c>
      <c r="M124" s="15" t="s">
        <v>487</v>
      </c>
    </row>
    <row r="125" spans="1:13" ht="25.5">
      <c r="A125" s="7">
        <v>121</v>
      </c>
      <c r="B125" s="7"/>
      <c r="C125" s="7" t="s">
        <v>70</v>
      </c>
      <c r="D125" s="8" t="s">
        <v>488</v>
      </c>
      <c r="E125" s="7">
        <v>13</v>
      </c>
      <c r="F125" s="7" t="str">
        <f>IFERROR(INDEX(Categories!$B$5:$B$27,MATCH(E125,Categories!$A$5:$A$27,0)),"")</f>
        <v>Environment Setup</v>
      </c>
      <c r="G125" s="7" t="s">
        <v>489</v>
      </c>
      <c r="H125" s="7" t="s">
        <v>97</v>
      </c>
      <c r="I125" s="7" t="s">
        <v>99</v>
      </c>
      <c r="J125" s="13">
        <f>IFERROR(INDEX(Rates!$D$6:$D$15,MATCH(H125&amp;"|"&amp;I125,Rates!$C$6:$C$15,0)),0)</f>
        <v>120</v>
      </c>
      <c r="K125" s="14">
        <v>4</v>
      </c>
      <c r="L125" s="13">
        <f t="shared" si="3"/>
        <v>480</v>
      </c>
      <c r="M125" s="7"/>
    </row>
    <row r="126" spans="1:13" ht="25.5">
      <c r="A126" s="15">
        <v>122</v>
      </c>
      <c r="B126" s="15"/>
      <c r="C126" s="15" t="s">
        <v>70</v>
      </c>
      <c r="D126" s="16" t="s">
        <v>490</v>
      </c>
      <c r="E126" s="15">
        <v>13</v>
      </c>
      <c r="F126" s="15" t="str">
        <f>IFERROR(INDEX(Categories!$B$5:$B$27,MATCH(E126,Categories!$A$5:$A$27,0)),"")</f>
        <v>Environment Setup</v>
      </c>
      <c r="G126" s="15" t="s">
        <v>491</v>
      </c>
      <c r="H126" s="15" t="s">
        <v>97</v>
      </c>
      <c r="I126" s="15" t="s">
        <v>98</v>
      </c>
      <c r="J126" s="17">
        <f>IFERROR(INDEX(Rates!$D$6:$D$15,MATCH(H126&amp;"|"&amp;I126,Rates!$C$6:$C$15,0)),0)</f>
        <v>100</v>
      </c>
      <c r="K126" s="18">
        <v>2</v>
      </c>
      <c r="L126" s="17">
        <f t="shared" si="3"/>
        <v>200</v>
      </c>
      <c r="M126" s="15" t="s">
        <v>492</v>
      </c>
    </row>
    <row r="127" spans="1:13" ht="38.25">
      <c r="A127" s="7">
        <v>123</v>
      </c>
      <c r="B127" s="7"/>
      <c r="C127" s="7" t="s">
        <v>60</v>
      </c>
      <c r="D127" s="8" t="s">
        <v>493</v>
      </c>
      <c r="E127" s="7">
        <v>6</v>
      </c>
      <c r="F127" s="7" t="str">
        <f>IFERROR(INDEX(Categories!$B$5:$B$27,MATCH(E127,Categories!$A$5:$A$27,0)),"")</f>
        <v>Data Migration</v>
      </c>
      <c r="G127" s="7" t="s">
        <v>494</v>
      </c>
      <c r="H127" s="7" t="s">
        <v>97</v>
      </c>
      <c r="I127" s="7" t="s">
        <v>99</v>
      </c>
      <c r="J127" s="13">
        <f>IFERROR(INDEX(Rates!$D$6:$D$15,MATCH(H127&amp;"|"&amp;I127,Rates!$C$6:$C$15,0)),0)</f>
        <v>120</v>
      </c>
      <c r="K127" s="14">
        <v>6</v>
      </c>
      <c r="L127" s="13">
        <f t="shared" si="3"/>
        <v>720</v>
      </c>
      <c r="M127" s="7" t="s">
        <v>495</v>
      </c>
    </row>
    <row r="128" spans="1:13" ht="25.5">
      <c r="A128" s="15">
        <v>124</v>
      </c>
      <c r="B128" s="15"/>
      <c r="C128" s="15" t="s">
        <v>496</v>
      </c>
      <c r="D128" s="16" t="s">
        <v>497</v>
      </c>
      <c r="E128" s="15">
        <v>25</v>
      </c>
      <c r="F128" s="15" t="str">
        <f>IFERROR(INDEX(Categories!$B$5:$B$27,MATCH(E128,Categories!$A$5:$A$27,0)),"")</f>
        <v>QA &amp; Testing</v>
      </c>
      <c r="G128" s="15" t="s">
        <v>498</v>
      </c>
      <c r="H128" s="15" t="s">
        <v>102</v>
      </c>
      <c r="I128" s="15" t="s">
        <v>98</v>
      </c>
      <c r="J128" s="17">
        <f>IFERROR(INDEX(Rates!$D$6:$D$15,MATCH(H128&amp;"|"&amp;I128,Rates!$C$6:$C$15,0)),0)</f>
        <v>80</v>
      </c>
      <c r="K128" s="18">
        <v>4</v>
      </c>
      <c r="L128" s="17">
        <f t="shared" si="3"/>
        <v>320</v>
      </c>
      <c r="M128" s="15" t="s">
        <v>499</v>
      </c>
    </row>
    <row r="129" spans="1:13" ht="25.5">
      <c r="A129" s="7">
        <v>125</v>
      </c>
      <c r="B129" s="7"/>
      <c r="C129" s="7" t="s">
        <v>500</v>
      </c>
      <c r="D129" s="8" t="s">
        <v>501</v>
      </c>
      <c r="E129" s="7">
        <v>8</v>
      </c>
      <c r="F129" s="7" t="str">
        <f>IFERROR(INDEX(Categories!$B$5:$B$27,MATCH(E129,Categories!$A$5:$A$27,0)),"")</f>
        <v>Deployment</v>
      </c>
      <c r="G129" s="7" t="s">
        <v>502</v>
      </c>
      <c r="H129" s="7" t="s">
        <v>97</v>
      </c>
      <c r="I129" s="7" t="s">
        <v>98</v>
      </c>
      <c r="J129" s="13">
        <f>IFERROR(INDEX(Rates!$D$6:$D$15,MATCH(H129&amp;"|"&amp;I129,Rates!$C$6:$C$15,0)),0)</f>
        <v>100</v>
      </c>
      <c r="K129" s="14">
        <v>1</v>
      </c>
      <c r="L129" s="13">
        <f t="shared" si="3"/>
        <v>100</v>
      </c>
      <c r="M129" s="7"/>
    </row>
    <row r="130" spans="1:13" ht="25.5">
      <c r="A130" s="15">
        <v>126</v>
      </c>
      <c r="B130" s="15" t="s">
        <v>503</v>
      </c>
      <c r="C130" s="15" t="s">
        <v>504</v>
      </c>
      <c r="D130" s="16" t="s">
        <v>505</v>
      </c>
      <c r="E130" s="15">
        <v>8</v>
      </c>
      <c r="F130" s="15" t="str">
        <f>IFERROR(INDEX(Categories!$B$5:$B$27,MATCH(E130,Categories!$A$5:$A$27,0)),"")</f>
        <v>Deployment</v>
      </c>
      <c r="G130" s="15" t="s">
        <v>506</v>
      </c>
      <c r="H130" s="15" t="s">
        <v>97</v>
      </c>
      <c r="I130" s="15" t="s">
        <v>99</v>
      </c>
      <c r="J130" s="17">
        <f>IFERROR(INDEX(Rates!$D$6:$D$15,MATCH(H130&amp;"|"&amp;I130,Rates!$C$6:$C$15,0)),0)</f>
        <v>120</v>
      </c>
      <c r="K130" s="18">
        <v>4</v>
      </c>
      <c r="L130" s="17">
        <f t="shared" si="3"/>
        <v>480</v>
      </c>
      <c r="M130" s="15" t="s">
        <v>507</v>
      </c>
    </row>
    <row r="131" spans="1:13" ht="25.5">
      <c r="A131" s="7">
        <v>127</v>
      </c>
      <c r="B131" s="7"/>
      <c r="C131" s="7" t="s">
        <v>508</v>
      </c>
      <c r="D131" s="8" t="s">
        <v>509</v>
      </c>
      <c r="E131" s="7">
        <v>8</v>
      </c>
      <c r="F131" s="7" t="str">
        <f>IFERROR(INDEX(Categories!$B$5:$B$27,MATCH(E131,Categories!$A$5:$A$27,0)),"")</f>
        <v>Deployment</v>
      </c>
      <c r="G131" s="7" t="s">
        <v>510</v>
      </c>
      <c r="H131" s="7" t="s">
        <v>97</v>
      </c>
      <c r="I131" s="7" t="s">
        <v>99</v>
      </c>
      <c r="J131" s="13">
        <f>IFERROR(INDEX(Rates!$D$6:$D$15,MATCH(H131&amp;"|"&amp;I131,Rates!$C$6:$C$15,0)),0)</f>
        <v>120</v>
      </c>
      <c r="K131" s="14">
        <v>2</v>
      </c>
      <c r="L131" s="13">
        <f t="shared" si="3"/>
        <v>240</v>
      </c>
      <c r="M131" s="7" t="s">
        <v>511</v>
      </c>
    </row>
    <row r="132" spans="1:13" ht="38.25">
      <c r="A132" s="15">
        <v>128</v>
      </c>
      <c r="B132" s="15"/>
      <c r="C132" s="15" t="s">
        <v>512</v>
      </c>
      <c r="D132" s="16" t="s">
        <v>513</v>
      </c>
      <c r="E132" s="15">
        <v>18</v>
      </c>
      <c r="F132" s="15" t="str">
        <f>IFERROR(INDEX(Categories!$B$5:$B$27,MATCH(E132,Categories!$A$5:$A$27,0)),"")</f>
        <v>Performance &amp; Security</v>
      </c>
      <c r="G132" s="15" t="s">
        <v>514</v>
      </c>
      <c r="H132" s="15" t="s">
        <v>97</v>
      </c>
      <c r="I132" s="15" t="s">
        <v>99</v>
      </c>
      <c r="J132" s="17">
        <f>IFERROR(INDEX(Rates!$D$6:$D$15,MATCH(H132&amp;"|"&amp;I132,Rates!$C$6:$C$15,0)),0)</f>
        <v>120</v>
      </c>
      <c r="K132" s="18">
        <v>3</v>
      </c>
      <c r="L132" s="17">
        <f t="shared" si="3"/>
        <v>360</v>
      </c>
      <c r="M132" s="15" t="s">
        <v>515</v>
      </c>
    </row>
    <row r="133" spans="1:13" ht="25.5">
      <c r="A133" s="7">
        <v>129</v>
      </c>
      <c r="B133" s="7" t="s">
        <v>516</v>
      </c>
      <c r="C133" s="7" t="s">
        <v>517</v>
      </c>
      <c r="D133" s="8" t="s">
        <v>518</v>
      </c>
      <c r="E133" s="7">
        <v>8</v>
      </c>
      <c r="F133" s="7" t="str">
        <f>IFERROR(INDEX(Categories!$B$5:$B$27,MATCH(E133,Categories!$A$5:$A$27,0)),"")</f>
        <v>Deployment</v>
      </c>
      <c r="G133" s="7" t="s">
        <v>519</v>
      </c>
      <c r="H133" s="7" t="s">
        <v>97</v>
      </c>
      <c r="I133" s="7" t="s">
        <v>98</v>
      </c>
      <c r="J133" s="13">
        <f>IFERROR(INDEX(Rates!$D$6:$D$15,MATCH(H133&amp;"|"&amp;I133,Rates!$C$6:$C$15,0)),0)</f>
        <v>100</v>
      </c>
      <c r="K133" s="14">
        <v>2</v>
      </c>
      <c r="L133" s="13">
        <f t="shared" ref="L133:L164" si="4">K133*J133</f>
        <v>200</v>
      </c>
      <c r="M133" s="7" t="s">
        <v>520</v>
      </c>
    </row>
    <row r="134" spans="1:13" ht="25.5">
      <c r="A134" s="15">
        <v>130</v>
      </c>
      <c r="B134" s="15"/>
      <c r="C134" s="15" t="s">
        <v>521</v>
      </c>
      <c r="D134" s="16" t="s">
        <v>522</v>
      </c>
      <c r="E134" s="15">
        <v>3</v>
      </c>
      <c r="F134" s="15" t="str">
        <f>IFERROR(INDEX(Categories!$B$5:$B$27,MATCH(E134,Categories!$A$5:$A$27,0)),"")</f>
        <v>CMS &amp; Content Prep</v>
      </c>
      <c r="G134" s="15" t="s">
        <v>523</v>
      </c>
      <c r="H134" s="15" t="s">
        <v>97</v>
      </c>
      <c r="I134" s="15" t="s">
        <v>99</v>
      </c>
      <c r="J134" s="17">
        <f>IFERROR(INDEX(Rates!$D$6:$D$15,MATCH(H134&amp;"|"&amp;I134,Rates!$C$6:$C$15,0)),0)</f>
        <v>120</v>
      </c>
      <c r="K134" s="18">
        <v>10</v>
      </c>
      <c r="L134" s="17">
        <f t="shared" si="4"/>
        <v>1200</v>
      </c>
      <c r="M134" s="15" t="s">
        <v>524</v>
      </c>
    </row>
    <row r="135" spans="1:13" ht="25.5">
      <c r="A135" s="7">
        <v>131</v>
      </c>
      <c r="B135" s="7" t="s">
        <v>525</v>
      </c>
      <c r="C135" s="7" t="s">
        <v>526</v>
      </c>
      <c r="D135" s="8" t="s">
        <v>527</v>
      </c>
      <c r="E135" s="7">
        <v>3</v>
      </c>
      <c r="F135" s="7" t="str">
        <f>IFERROR(INDEX(Categories!$B$5:$B$27,MATCH(E135,Categories!$A$5:$A$27,0)),"")</f>
        <v>CMS &amp; Content Prep</v>
      </c>
      <c r="G135" s="7" t="s">
        <v>528</v>
      </c>
      <c r="H135" s="7" t="s">
        <v>97</v>
      </c>
      <c r="I135" s="7" t="s">
        <v>99</v>
      </c>
      <c r="J135" s="13">
        <f>IFERROR(INDEX(Rates!$D$6:$D$15,MATCH(H135&amp;"|"&amp;I135,Rates!$C$6:$C$15,0)),0)</f>
        <v>120</v>
      </c>
      <c r="K135" s="14">
        <v>14</v>
      </c>
      <c r="L135" s="13">
        <f t="shared" si="4"/>
        <v>1680</v>
      </c>
      <c r="M135" s="7" t="s">
        <v>529</v>
      </c>
    </row>
    <row r="136" spans="1:13" ht="25.5">
      <c r="A136" s="15">
        <v>132</v>
      </c>
      <c r="B136" s="15" t="s">
        <v>530</v>
      </c>
      <c r="C136" s="15" t="s">
        <v>531</v>
      </c>
      <c r="D136" s="16" t="s">
        <v>532</v>
      </c>
      <c r="E136" s="15">
        <v>3</v>
      </c>
      <c r="F136" s="15" t="str">
        <f>IFERROR(INDEX(Categories!$B$5:$B$27,MATCH(E136,Categories!$A$5:$A$27,0)),"")</f>
        <v>CMS &amp; Content Prep</v>
      </c>
      <c r="G136" s="15" t="s">
        <v>533</v>
      </c>
      <c r="H136" s="15" t="s">
        <v>103</v>
      </c>
      <c r="I136" s="15" t="s">
        <v>98</v>
      </c>
      <c r="J136" s="17">
        <f>IFERROR(INDEX(Rates!$D$6:$D$15,MATCH(H136&amp;"|"&amp;I136,Rates!$C$6:$C$15,0)),0)</f>
        <v>0</v>
      </c>
      <c r="K136" s="18">
        <v>2</v>
      </c>
      <c r="L136" s="17">
        <f t="shared" si="4"/>
        <v>0</v>
      </c>
      <c r="M136" s="15" t="s">
        <v>534</v>
      </c>
    </row>
    <row r="137" spans="1:13" ht="25.5">
      <c r="A137" s="7">
        <v>133</v>
      </c>
      <c r="B137" s="7" t="s">
        <v>535</v>
      </c>
      <c r="C137" s="7" t="s">
        <v>536</v>
      </c>
      <c r="D137" s="8" t="s">
        <v>537</v>
      </c>
      <c r="E137" s="7">
        <v>3</v>
      </c>
      <c r="F137" s="7" t="str">
        <f>IFERROR(INDEX(Categories!$B$5:$B$27,MATCH(E137,Categories!$A$5:$A$27,0)),"")</f>
        <v>CMS &amp; Content Prep</v>
      </c>
      <c r="G137" s="7" t="s">
        <v>538</v>
      </c>
      <c r="H137" s="7" t="s">
        <v>97</v>
      </c>
      <c r="I137" s="7" t="s">
        <v>98</v>
      </c>
      <c r="J137" s="13">
        <f>IFERROR(INDEX(Rates!$D$6:$D$15,MATCH(H137&amp;"|"&amp;I137,Rates!$C$6:$C$15,0)),0)</f>
        <v>100</v>
      </c>
      <c r="K137" s="14">
        <v>3</v>
      </c>
      <c r="L137" s="13">
        <f t="shared" si="4"/>
        <v>300</v>
      </c>
      <c r="M137" s="7" t="s">
        <v>539</v>
      </c>
    </row>
    <row r="138" spans="1:13" ht="25.5">
      <c r="A138" s="15">
        <v>134</v>
      </c>
      <c r="B138" s="15" t="s">
        <v>540</v>
      </c>
      <c r="C138" s="15" t="s">
        <v>541</v>
      </c>
      <c r="D138" s="16" t="s">
        <v>542</v>
      </c>
      <c r="E138" s="15">
        <v>25</v>
      </c>
      <c r="F138" s="15" t="str">
        <f>IFERROR(INDEX(Categories!$B$5:$B$27,MATCH(E138,Categories!$A$5:$A$27,0)),"")</f>
        <v>QA &amp; Testing</v>
      </c>
      <c r="G138" s="15" t="s">
        <v>543</v>
      </c>
      <c r="H138" s="15" t="s">
        <v>102</v>
      </c>
      <c r="I138" s="15" t="s">
        <v>98</v>
      </c>
      <c r="J138" s="17">
        <f>IFERROR(INDEX(Rates!$D$6:$D$15,MATCH(H138&amp;"|"&amp;I138,Rates!$C$6:$C$15,0)),0)</f>
        <v>80</v>
      </c>
      <c r="K138" s="18">
        <v>6</v>
      </c>
      <c r="L138" s="17">
        <f t="shared" si="4"/>
        <v>480</v>
      </c>
      <c r="M138" s="15" t="s">
        <v>544</v>
      </c>
    </row>
    <row r="139" spans="1:13" ht="25.5">
      <c r="A139" s="7">
        <v>135</v>
      </c>
      <c r="B139" s="7"/>
      <c r="C139" s="7" t="s">
        <v>545</v>
      </c>
      <c r="D139" s="8" t="s">
        <v>546</v>
      </c>
      <c r="E139" s="7">
        <v>18</v>
      </c>
      <c r="F139" s="7" t="str">
        <f>IFERROR(INDEX(Categories!$B$5:$B$27,MATCH(E139,Categories!$A$5:$A$27,0)),"")</f>
        <v>Performance &amp; Security</v>
      </c>
      <c r="G139" s="7" t="s">
        <v>547</v>
      </c>
      <c r="H139" s="7" t="s">
        <v>102</v>
      </c>
      <c r="I139" s="7" t="s">
        <v>98</v>
      </c>
      <c r="J139" s="13">
        <f>IFERROR(INDEX(Rates!$D$6:$D$15,MATCH(H139&amp;"|"&amp;I139,Rates!$C$6:$C$15,0)),0)</f>
        <v>80</v>
      </c>
      <c r="K139" s="14">
        <v>2</v>
      </c>
      <c r="L139" s="13">
        <f t="shared" si="4"/>
        <v>160</v>
      </c>
      <c r="M139" s="7" t="s">
        <v>548</v>
      </c>
    </row>
    <row r="140" spans="1:13" ht="25.5">
      <c r="A140" s="15">
        <v>136</v>
      </c>
      <c r="B140" s="15"/>
      <c r="C140" s="15" t="s">
        <v>549</v>
      </c>
      <c r="D140" s="16" t="s">
        <v>550</v>
      </c>
      <c r="E140" s="15">
        <v>4</v>
      </c>
      <c r="F140" s="15" t="str">
        <f>IFERROR(INDEX(Categories!$B$5:$B$27,MATCH(E140,Categories!$A$5:$A$27,0)),"")</f>
        <v>Conversion Tracking</v>
      </c>
      <c r="G140" s="15" t="s">
        <v>551</v>
      </c>
      <c r="H140" s="15" t="s">
        <v>102</v>
      </c>
      <c r="I140" s="15" t="s">
        <v>98</v>
      </c>
      <c r="J140" s="17">
        <f>IFERROR(INDEX(Rates!$D$6:$D$15,MATCH(H140&amp;"|"&amp;I140,Rates!$C$6:$C$15,0)),0)</f>
        <v>80</v>
      </c>
      <c r="K140" s="18">
        <v>2</v>
      </c>
      <c r="L140" s="17">
        <f t="shared" si="4"/>
        <v>160</v>
      </c>
      <c r="M140" s="15"/>
    </row>
    <row r="142" spans="1:13">
      <c r="D142" s="19" t="s">
        <v>552</v>
      </c>
      <c r="K142" s="20">
        <f>SUM(K5:K140)</f>
        <v>1373.5</v>
      </c>
      <c r="L142" s="21">
        <f>SUM(L5:L140)</f>
        <v>159700</v>
      </c>
      <c r="M142" s="12" t="s">
        <v>553</v>
      </c>
    </row>
  </sheetData>
  <autoFilter ref="A4:M140"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3"/>
  <sheetViews>
    <sheetView zoomScaleNormal="100" workbookViewId="0">
      <pane xSplit="4" ySplit="4" topLeftCell="E69" activePane="bottomRight" state="frozen"/>
      <selection pane="bottomRight" activeCell="D45" sqref="D45"/>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554</v>
      </c>
    </row>
    <row r="2" spans="1:13">
      <c r="A2" s="2" t="s">
        <v>555</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2</v>
      </c>
      <c r="L5" s="13">
        <f t="shared" ref="L5:L36" si="0">K5*J5</f>
        <v>200</v>
      </c>
      <c r="M5" s="7"/>
    </row>
    <row r="6" spans="1:13" ht="25.5">
      <c r="A6" s="15">
        <v>2</v>
      </c>
      <c r="B6" s="15"/>
      <c r="C6" s="15" t="s">
        <v>111</v>
      </c>
      <c r="D6" s="16" t="s">
        <v>115</v>
      </c>
      <c r="E6" s="15">
        <v>14</v>
      </c>
      <c r="F6" s="15" t="str">
        <f>IFERROR(INDEX(Categories!$B$5:$B$27,MATCH(E6,Categories!$A$5:$A$27,0)),"")</f>
        <v>Frontend</v>
      </c>
      <c r="G6" s="15" t="s">
        <v>556</v>
      </c>
      <c r="H6" s="15" t="s">
        <v>97</v>
      </c>
      <c r="I6" s="15" t="s">
        <v>98</v>
      </c>
      <c r="J6" s="17">
        <f>IFERROR(INDEX(Rates!$D$6:$D$15,MATCH(H6&amp;"|"&amp;I6,Rates!$C$6:$C$15,0)),0)</f>
        <v>100</v>
      </c>
      <c r="K6" s="18">
        <v>3</v>
      </c>
      <c r="L6" s="17">
        <f t="shared" si="0"/>
        <v>300</v>
      </c>
      <c r="M6" s="15" t="s">
        <v>557</v>
      </c>
    </row>
    <row r="7" spans="1:13" ht="25.5">
      <c r="A7" s="7">
        <v>3</v>
      </c>
      <c r="B7" s="7"/>
      <c r="C7" s="7" t="s">
        <v>111</v>
      </c>
      <c r="D7" s="8" t="s">
        <v>558</v>
      </c>
      <c r="E7" s="7">
        <v>15</v>
      </c>
      <c r="F7" s="7" t="str">
        <f>IFERROR(INDEX(Categories!$B$5:$B$27,MATCH(E7,Categories!$A$5:$A$27,0)),"")</f>
        <v>Integration</v>
      </c>
      <c r="G7" s="7" t="s">
        <v>559</v>
      </c>
      <c r="H7" s="7" t="s">
        <v>97</v>
      </c>
      <c r="I7" s="7" t="s">
        <v>98</v>
      </c>
      <c r="J7" s="13">
        <f>IFERROR(INDEX(Rates!$D$6:$D$15,MATCH(H7&amp;"|"&amp;I7,Rates!$C$6:$C$15,0)),0)</f>
        <v>100</v>
      </c>
      <c r="K7" s="14">
        <v>3</v>
      </c>
      <c r="L7" s="13">
        <f t="shared" si="0"/>
        <v>300</v>
      </c>
      <c r="M7" s="7" t="s">
        <v>123</v>
      </c>
    </row>
    <row r="8" spans="1:13">
      <c r="A8" s="15">
        <v>4</v>
      </c>
      <c r="B8" s="15"/>
      <c r="C8" s="15" t="s">
        <v>111</v>
      </c>
      <c r="D8" s="16" t="s">
        <v>124</v>
      </c>
      <c r="E8" s="15">
        <v>14</v>
      </c>
      <c r="F8" s="15" t="str">
        <f>IFERROR(INDEX(Categories!$B$5:$B$27,MATCH(E8,Categories!$A$5:$A$27,0)),"")</f>
        <v>Frontend</v>
      </c>
      <c r="G8" s="15" t="s">
        <v>560</v>
      </c>
      <c r="H8" s="15" t="s">
        <v>97</v>
      </c>
      <c r="I8" s="15" t="s">
        <v>98</v>
      </c>
      <c r="J8" s="17">
        <f>IFERROR(INDEX(Rates!$D$6:$D$15,MATCH(H8&amp;"|"&amp;I8,Rates!$C$6:$C$15,0)),0)</f>
        <v>100</v>
      </c>
      <c r="K8" s="18">
        <v>1.5</v>
      </c>
      <c r="L8" s="17">
        <f t="shared" si="0"/>
        <v>150</v>
      </c>
      <c r="M8" s="15" t="s">
        <v>561</v>
      </c>
    </row>
    <row r="9" spans="1:13">
      <c r="A9" s="7">
        <v>5</v>
      </c>
      <c r="B9" s="7"/>
      <c r="C9" s="7" t="s">
        <v>111</v>
      </c>
      <c r="D9" s="8" t="s">
        <v>127</v>
      </c>
      <c r="E9" s="7">
        <v>14</v>
      </c>
      <c r="F9" s="7" t="str">
        <f>IFERROR(INDEX(Categories!$B$5:$B$27,MATCH(E9,Categories!$A$5:$A$27,0)),"")</f>
        <v>Frontend</v>
      </c>
      <c r="G9" s="7" t="s">
        <v>562</v>
      </c>
      <c r="H9" s="7" t="s">
        <v>97</v>
      </c>
      <c r="I9" s="7" t="s">
        <v>98</v>
      </c>
      <c r="J9" s="13">
        <f>IFERROR(INDEX(Rates!$D$6:$D$15,MATCH(H9&amp;"|"&amp;I9,Rates!$C$6:$C$15,0)),0)</f>
        <v>100</v>
      </c>
      <c r="K9" s="14">
        <v>1.5</v>
      </c>
      <c r="L9" s="13">
        <f t="shared" si="0"/>
        <v>150</v>
      </c>
      <c r="M9" s="7" t="s">
        <v>129</v>
      </c>
    </row>
    <row r="10" spans="1:13">
      <c r="A10" s="15">
        <v>6</v>
      </c>
      <c r="B10" s="15"/>
      <c r="C10" s="15" t="s">
        <v>130</v>
      </c>
      <c r="D10" s="16" t="s">
        <v>131</v>
      </c>
      <c r="E10" s="15">
        <v>14</v>
      </c>
      <c r="F10" s="15" t="str">
        <f>IFERROR(INDEX(Categories!$B$5:$B$27,MATCH(E10,Categories!$A$5:$A$27,0)),"")</f>
        <v>Frontend</v>
      </c>
      <c r="G10" s="15" t="s">
        <v>563</v>
      </c>
      <c r="H10" s="15" t="s">
        <v>97</v>
      </c>
      <c r="I10" s="15" t="s">
        <v>98</v>
      </c>
      <c r="J10" s="17">
        <f>IFERROR(INDEX(Rates!$D$6:$D$15,MATCH(H10&amp;"|"&amp;I10,Rates!$C$6:$C$15,0)),0)</f>
        <v>100</v>
      </c>
      <c r="K10" s="18">
        <v>4</v>
      </c>
      <c r="L10" s="17">
        <f t="shared" si="0"/>
        <v>400</v>
      </c>
      <c r="M10" s="15"/>
    </row>
    <row r="11" spans="1:13">
      <c r="A11" s="7">
        <v>7</v>
      </c>
      <c r="B11" s="7"/>
      <c r="C11" s="7" t="s">
        <v>130</v>
      </c>
      <c r="D11" s="8" t="s">
        <v>134</v>
      </c>
      <c r="E11" s="7">
        <v>14</v>
      </c>
      <c r="F11" s="7" t="str">
        <f>IFERROR(INDEX(Categories!$B$5:$B$27,MATCH(E11,Categories!$A$5:$A$27,0)),"")</f>
        <v>Frontend</v>
      </c>
      <c r="G11" s="7" t="s">
        <v>564</v>
      </c>
      <c r="H11" s="7" t="s">
        <v>97</v>
      </c>
      <c r="I11" s="7" t="s">
        <v>98</v>
      </c>
      <c r="J11" s="13">
        <f>IFERROR(INDEX(Rates!$D$6:$D$15,MATCH(H11&amp;"|"&amp;I11,Rates!$C$6:$C$15,0)),0)</f>
        <v>100</v>
      </c>
      <c r="K11" s="14">
        <v>3</v>
      </c>
      <c r="L11" s="13">
        <f t="shared" si="0"/>
        <v>300</v>
      </c>
      <c r="M11" s="7" t="s">
        <v>136</v>
      </c>
    </row>
    <row r="12" spans="1:13" ht="25.5">
      <c r="A12" s="15">
        <v>8</v>
      </c>
      <c r="B12" s="15"/>
      <c r="C12" s="15" t="s">
        <v>130</v>
      </c>
      <c r="D12" s="16" t="s">
        <v>137</v>
      </c>
      <c r="E12" s="15">
        <v>14</v>
      </c>
      <c r="F12" s="15" t="str">
        <f>IFERROR(INDEX(Categories!$B$5:$B$27,MATCH(E12,Categories!$A$5:$A$27,0)),"")</f>
        <v>Frontend</v>
      </c>
      <c r="G12" s="15" t="s">
        <v>565</v>
      </c>
      <c r="H12" s="15" t="s">
        <v>97</v>
      </c>
      <c r="I12" s="15" t="s">
        <v>98</v>
      </c>
      <c r="J12" s="17">
        <f>IFERROR(INDEX(Rates!$D$6:$D$15,MATCH(H12&amp;"|"&amp;I12,Rates!$C$6:$C$15,0)),0)</f>
        <v>100</v>
      </c>
      <c r="K12" s="18">
        <v>2</v>
      </c>
      <c r="L12" s="17">
        <f t="shared" si="0"/>
        <v>200</v>
      </c>
      <c r="M12" s="15" t="s">
        <v>139</v>
      </c>
    </row>
    <row r="13" spans="1:13">
      <c r="A13" s="7">
        <v>9</v>
      </c>
      <c r="B13" s="7"/>
      <c r="C13" s="7" t="s">
        <v>130</v>
      </c>
      <c r="D13" s="8" t="s">
        <v>140</v>
      </c>
      <c r="E13" s="7">
        <v>14</v>
      </c>
      <c r="F13" s="7" t="str">
        <f>IFERROR(INDEX(Categories!$B$5:$B$27,MATCH(E13,Categories!$A$5:$A$27,0)),"")</f>
        <v>Frontend</v>
      </c>
      <c r="G13" s="7" t="s">
        <v>566</v>
      </c>
      <c r="H13" s="7" t="s">
        <v>97</v>
      </c>
      <c r="I13" s="7" t="s">
        <v>98</v>
      </c>
      <c r="J13" s="13">
        <f>IFERROR(INDEX(Rates!$D$6:$D$15,MATCH(H13&amp;"|"&amp;I13,Rates!$C$6:$C$15,0)),0)</f>
        <v>100</v>
      </c>
      <c r="K13" s="14">
        <v>2</v>
      </c>
      <c r="L13" s="13">
        <f t="shared" si="0"/>
        <v>200</v>
      </c>
      <c r="M13" s="7" t="s">
        <v>567</v>
      </c>
    </row>
    <row r="14" spans="1:13" ht="25.5">
      <c r="A14" s="15">
        <v>10</v>
      </c>
      <c r="B14" s="15"/>
      <c r="C14" s="15" t="s">
        <v>111</v>
      </c>
      <c r="D14" s="16" t="s">
        <v>143</v>
      </c>
      <c r="E14" s="15">
        <v>14</v>
      </c>
      <c r="F14" s="15" t="str">
        <f>IFERROR(INDEX(Categories!$B$5:$B$27,MATCH(E14,Categories!$A$5:$A$27,0)),"")</f>
        <v>Frontend</v>
      </c>
      <c r="G14" s="15" t="s">
        <v>568</v>
      </c>
      <c r="H14" s="15" t="s">
        <v>97</v>
      </c>
      <c r="I14" s="15" t="s">
        <v>98</v>
      </c>
      <c r="J14" s="17">
        <f>IFERROR(INDEX(Rates!$D$6:$D$15,MATCH(H14&amp;"|"&amp;I14,Rates!$C$6:$C$15,0)),0)</f>
        <v>100</v>
      </c>
      <c r="K14" s="18">
        <v>4</v>
      </c>
      <c r="L14" s="17">
        <f t="shared" si="0"/>
        <v>400</v>
      </c>
      <c r="M14" s="15" t="s">
        <v>569</v>
      </c>
    </row>
    <row r="15" spans="1:13">
      <c r="A15" s="7">
        <v>11</v>
      </c>
      <c r="B15" s="7"/>
      <c r="C15" s="7" t="s">
        <v>111</v>
      </c>
      <c r="D15" s="8" t="s">
        <v>146</v>
      </c>
      <c r="E15" s="7">
        <v>14</v>
      </c>
      <c r="F15" s="7" t="str">
        <f>IFERROR(INDEX(Categories!$B$5:$B$27,MATCH(E15,Categories!$A$5:$A$27,0)),"")</f>
        <v>Frontend</v>
      </c>
      <c r="G15" s="7" t="s">
        <v>570</v>
      </c>
      <c r="H15" s="7" t="s">
        <v>97</v>
      </c>
      <c r="I15" s="7" t="s">
        <v>98</v>
      </c>
      <c r="J15" s="13">
        <f>IFERROR(INDEX(Rates!$D$6:$D$15,MATCH(H15&amp;"|"&amp;I15,Rates!$C$6:$C$15,0)),0)</f>
        <v>100</v>
      </c>
      <c r="K15" s="14">
        <v>2</v>
      </c>
      <c r="L15" s="13">
        <f t="shared" si="0"/>
        <v>200</v>
      </c>
      <c r="M15" s="7" t="s">
        <v>571</v>
      </c>
    </row>
    <row r="16" spans="1:13">
      <c r="A16" s="15">
        <v>12</v>
      </c>
      <c r="B16" s="15"/>
      <c r="C16" s="15" t="s">
        <v>111</v>
      </c>
      <c r="D16" s="16" t="s">
        <v>572</v>
      </c>
      <c r="E16" s="15">
        <v>14</v>
      </c>
      <c r="F16" s="15" t="str">
        <f>IFERROR(INDEX(Categories!$B$5:$B$27,MATCH(E16,Categories!$A$5:$A$27,0)),"")</f>
        <v>Frontend</v>
      </c>
      <c r="G16" s="15" t="s">
        <v>573</v>
      </c>
      <c r="H16" s="15" t="s">
        <v>97</v>
      </c>
      <c r="I16" s="15" t="s">
        <v>98</v>
      </c>
      <c r="J16" s="17">
        <f>IFERROR(INDEX(Rates!$D$6:$D$15,MATCH(H16&amp;"|"&amp;I16,Rates!$C$6:$C$15,0)),0)</f>
        <v>100</v>
      </c>
      <c r="K16" s="18">
        <v>1</v>
      </c>
      <c r="L16" s="17">
        <f t="shared" si="0"/>
        <v>100</v>
      </c>
      <c r="M16" s="15" t="s">
        <v>151</v>
      </c>
    </row>
    <row r="17" spans="1:13" ht="25.5">
      <c r="A17" s="7">
        <v>13</v>
      </c>
      <c r="B17" s="7"/>
      <c r="C17" s="7" t="s">
        <v>111</v>
      </c>
      <c r="D17" s="8" t="s">
        <v>574</v>
      </c>
      <c r="E17" s="7">
        <v>15</v>
      </c>
      <c r="F17" s="7" t="str">
        <f>IFERROR(INDEX(Categories!$B$5:$B$27,MATCH(E17,Categories!$A$5:$A$27,0)),"")</f>
        <v>Integration</v>
      </c>
      <c r="G17" s="7" t="s">
        <v>575</v>
      </c>
      <c r="H17" s="7" t="s">
        <v>97</v>
      </c>
      <c r="I17" s="7" t="s">
        <v>98</v>
      </c>
      <c r="J17" s="13">
        <f>IFERROR(INDEX(Rates!$D$6:$D$15,MATCH(H17&amp;"|"&amp;I17,Rates!$C$6:$C$15,0)),0)</f>
        <v>100</v>
      </c>
      <c r="K17" s="14">
        <v>4</v>
      </c>
      <c r="L17" s="13">
        <f t="shared" si="0"/>
        <v>400</v>
      </c>
      <c r="M17" s="7" t="s">
        <v>322</v>
      </c>
    </row>
    <row r="18" spans="1:13">
      <c r="A18" s="15">
        <v>14</v>
      </c>
      <c r="B18" s="15"/>
      <c r="C18" s="15" t="s">
        <v>111</v>
      </c>
      <c r="D18" s="16" t="s">
        <v>156</v>
      </c>
      <c r="E18" s="15">
        <v>14</v>
      </c>
      <c r="F18" s="15" t="str">
        <f>IFERROR(INDEX(Categories!$B$5:$B$27,MATCH(E18,Categories!$A$5:$A$27,0)),"")</f>
        <v>Frontend</v>
      </c>
      <c r="G18" s="15" t="s">
        <v>576</v>
      </c>
      <c r="H18" s="15" t="s">
        <v>97</v>
      </c>
      <c r="I18" s="15" t="s">
        <v>98</v>
      </c>
      <c r="J18" s="17">
        <f>IFERROR(INDEX(Rates!$D$6:$D$15,MATCH(H18&amp;"|"&amp;I18,Rates!$C$6:$C$15,0)),0)</f>
        <v>100</v>
      </c>
      <c r="K18" s="18">
        <v>2</v>
      </c>
      <c r="L18" s="17">
        <f t="shared" si="0"/>
        <v>200</v>
      </c>
      <c r="M18" s="15"/>
    </row>
    <row r="19" spans="1:13" ht="25.5">
      <c r="A19" s="7">
        <v>15</v>
      </c>
      <c r="B19" s="7"/>
      <c r="C19" s="7" t="s">
        <v>111</v>
      </c>
      <c r="D19" s="8" t="s">
        <v>577</v>
      </c>
      <c r="E19" s="7">
        <v>18</v>
      </c>
      <c r="F19" s="7" t="str">
        <f>IFERROR(INDEX(Categories!$B$5:$B$27,MATCH(E19,Categories!$A$5:$A$27,0)),"")</f>
        <v>Performance &amp; Security</v>
      </c>
      <c r="G19" s="7" t="s">
        <v>578</v>
      </c>
      <c r="H19" s="7" t="s">
        <v>97</v>
      </c>
      <c r="I19" s="7" t="s">
        <v>98</v>
      </c>
      <c r="J19" s="13">
        <f>IFERROR(INDEX(Rates!$D$6:$D$15,MATCH(H19&amp;"|"&amp;I19,Rates!$C$6:$C$15,0)),0)</f>
        <v>100</v>
      </c>
      <c r="K19" s="14">
        <v>1</v>
      </c>
      <c r="L19" s="13">
        <f t="shared" si="0"/>
        <v>100</v>
      </c>
      <c r="M19" s="7" t="s">
        <v>579</v>
      </c>
    </row>
    <row r="20" spans="1:13" ht="25.5">
      <c r="A20" s="15">
        <v>16</v>
      </c>
      <c r="B20" s="15"/>
      <c r="C20" s="15" t="s">
        <v>206</v>
      </c>
      <c r="D20" s="16" t="s">
        <v>207</v>
      </c>
      <c r="E20" s="15">
        <v>14</v>
      </c>
      <c r="F20" s="15" t="str">
        <f>IFERROR(INDEX(Categories!$B$5:$B$27,MATCH(E20,Categories!$A$5:$A$27,0)),"")</f>
        <v>Frontend</v>
      </c>
      <c r="G20" s="15" t="s">
        <v>580</v>
      </c>
      <c r="H20" s="15" t="s">
        <v>100</v>
      </c>
      <c r="I20" s="15" t="s">
        <v>98</v>
      </c>
      <c r="J20" s="17">
        <f>IFERROR(INDEX(Rates!$D$6:$D$15,MATCH(H20&amp;"|"&amp;I20,Rates!$C$6:$C$15,0)),0)</f>
        <v>100</v>
      </c>
      <c r="K20" s="18">
        <v>6</v>
      </c>
      <c r="L20" s="17">
        <f t="shared" si="0"/>
        <v>600</v>
      </c>
      <c r="M20" s="15" t="s">
        <v>209</v>
      </c>
    </row>
    <row r="21" spans="1:13" ht="25.5">
      <c r="A21" s="7">
        <v>17</v>
      </c>
      <c r="B21" s="7"/>
      <c r="C21" s="7" t="s">
        <v>206</v>
      </c>
      <c r="D21" s="8" t="s">
        <v>210</v>
      </c>
      <c r="E21" s="7">
        <v>14</v>
      </c>
      <c r="F21" s="7" t="str">
        <f>IFERROR(INDEX(Categories!$B$5:$B$27,MATCH(E21,Categories!$A$5:$A$27,0)),"")</f>
        <v>Frontend</v>
      </c>
      <c r="G21" s="7" t="s">
        <v>581</v>
      </c>
      <c r="H21" s="7" t="s">
        <v>97</v>
      </c>
      <c r="I21" s="7" t="s">
        <v>99</v>
      </c>
      <c r="J21" s="13">
        <f>IFERROR(INDEX(Rates!$D$6:$D$15,MATCH(H21&amp;"|"&amp;I21,Rates!$C$6:$C$15,0)),0)</f>
        <v>120</v>
      </c>
      <c r="K21" s="14">
        <v>3</v>
      </c>
      <c r="L21" s="13">
        <f t="shared" si="0"/>
        <v>360</v>
      </c>
      <c r="M21" s="7" t="s">
        <v>582</v>
      </c>
    </row>
    <row r="22" spans="1:13" ht="25.5">
      <c r="A22" s="15">
        <v>18</v>
      </c>
      <c r="B22" s="15"/>
      <c r="C22" s="15" t="s">
        <v>206</v>
      </c>
      <c r="D22" s="16" t="s">
        <v>213</v>
      </c>
      <c r="E22" s="15">
        <v>14</v>
      </c>
      <c r="F22" s="15" t="str">
        <f>IFERROR(INDEX(Categories!$B$5:$B$27,MATCH(E22,Categories!$A$5:$A$27,0)),"")</f>
        <v>Frontend</v>
      </c>
      <c r="G22" s="15" t="s">
        <v>583</v>
      </c>
      <c r="H22" s="15" t="s">
        <v>97</v>
      </c>
      <c r="I22" s="15" t="s">
        <v>98</v>
      </c>
      <c r="J22" s="17">
        <f>IFERROR(INDEX(Rates!$D$6:$D$15,MATCH(H22&amp;"|"&amp;I22,Rates!$C$6:$C$15,0)),0)</f>
        <v>100</v>
      </c>
      <c r="K22" s="18">
        <v>2</v>
      </c>
      <c r="L22" s="17">
        <f t="shared" si="0"/>
        <v>200</v>
      </c>
      <c r="M22" s="15" t="s">
        <v>215</v>
      </c>
    </row>
    <row r="23" spans="1:13">
      <c r="A23" s="7">
        <v>19</v>
      </c>
      <c r="B23" s="7"/>
      <c r="C23" s="7" t="s">
        <v>206</v>
      </c>
      <c r="D23" s="8" t="s">
        <v>584</v>
      </c>
      <c r="E23" s="7">
        <v>14</v>
      </c>
      <c r="F23" s="7" t="str">
        <f>IFERROR(INDEX(Categories!$B$5:$B$27,MATCH(E23,Categories!$A$5:$A$27,0)),"")</f>
        <v>Frontend</v>
      </c>
      <c r="G23" s="7" t="s">
        <v>585</v>
      </c>
      <c r="H23" s="7" t="s">
        <v>97</v>
      </c>
      <c r="I23" s="7" t="s">
        <v>98</v>
      </c>
      <c r="J23" s="13">
        <f>IFERROR(INDEX(Rates!$D$6:$D$15,MATCH(H23&amp;"|"&amp;I23,Rates!$C$6:$C$15,0)),0)</f>
        <v>100</v>
      </c>
      <c r="K23" s="14">
        <v>4</v>
      </c>
      <c r="L23" s="13">
        <f t="shared" si="0"/>
        <v>400</v>
      </c>
      <c r="M23" s="7" t="s">
        <v>586</v>
      </c>
    </row>
    <row r="24" spans="1:13">
      <c r="A24" s="15">
        <v>20</v>
      </c>
      <c r="B24" s="15"/>
      <c r="C24" s="15" t="s">
        <v>206</v>
      </c>
      <c r="D24" s="16" t="s">
        <v>587</v>
      </c>
      <c r="E24" s="15">
        <v>14</v>
      </c>
      <c r="F24" s="15" t="str">
        <f>IFERROR(INDEX(Categories!$B$5:$B$27,MATCH(E24,Categories!$A$5:$A$27,0)),"")</f>
        <v>Frontend</v>
      </c>
      <c r="G24" s="15" t="s">
        <v>588</v>
      </c>
      <c r="H24" s="15" t="s">
        <v>97</v>
      </c>
      <c r="I24" s="15" t="s">
        <v>98</v>
      </c>
      <c r="J24" s="17">
        <f>IFERROR(INDEX(Rates!$D$6:$D$15,MATCH(H24&amp;"|"&amp;I24,Rates!$C$6:$C$15,0)),0)</f>
        <v>100</v>
      </c>
      <c r="K24" s="18">
        <v>4</v>
      </c>
      <c r="L24" s="17">
        <f t="shared" si="0"/>
        <v>400</v>
      </c>
      <c r="M24" s="15" t="s">
        <v>221</v>
      </c>
    </row>
    <row r="25" spans="1:13">
      <c r="A25" s="7">
        <v>21</v>
      </c>
      <c r="B25" s="7"/>
      <c r="C25" s="7" t="s">
        <v>130</v>
      </c>
      <c r="D25" s="8" t="s">
        <v>222</v>
      </c>
      <c r="E25" s="7">
        <v>14</v>
      </c>
      <c r="F25" s="7" t="str">
        <f>IFERROR(INDEX(Categories!$B$5:$B$27,MATCH(E25,Categories!$A$5:$A$27,0)),"")</f>
        <v>Frontend</v>
      </c>
      <c r="G25" s="7" t="s">
        <v>589</v>
      </c>
      <c r="H25" s="7" t="s">
        <v>97</v>
      </c>
      <c r="I25" s="7" t="s">
        <v>98</v>
      </c>
      <c r="J25" s="13">
        <f>IFERROR(INDEX(Rates!$D$6:$D$15,MATCH(H25&amp;"|"&amp;I25,Rates!$C$6:$C$15,0)),0)</f>
        <v>100</v>
      </c>
      <c r="K25" s="14">
        <v>2</v>
      </c>
      <c r="L25" s="13">
        <f t="shared" si="0"/>
        <v>200</v>
      </c>
      <c r="M25" s="7" t="s">
        <v>590</v>
      </c>
    </row>
    <row r="26" spans="1:13">
      <c r="A26" s="15">
        <v>22</v>
      </c>
      <c r="B26" s="15"/>
      <c r="C26" s="15" t="s">
        <v>257</v>
      </c>
      <c r="D26" s="16" t="s">
        <v>261</v>
      </c>
      <c r="E26" s="15">
        <v>15</v>
      </c>
      <c r="F26" s="15" t="str">
        <f>IFERROR(INDEX(Categories!$B$5:$B$27,MATCH(E26,Categories!$A$5:$A$27,0)),"")</f>
        <v>Integration</v>
      </c>
      <c r="G26" s="15" t="s">
        <v>591</v>
      </c>
      <c r="H26" s="15" t="s">
        <v>97</v>
      </c>
      <c r="I26" s="15" t="s">
        <v>98</v>
      </c>
      <c r="J26" s="17">
        <f>IFERROR(INDEX(Rates!$D$6:$D$15,MATCH(H26&amp;"|"&amp;I26,Rates!$C$6:$C$15,0)),0)</f>
        <v>100</v>
      </c>
      <c r="K26" s="18">
        <v>2</v>
      </c>
      <c r="L26" s="17">
        <f t="shared" si="0"/>
        <v>200</v>
      </c>
      <c r="M26" s="15" t="s">
        <v>592</v>
      </c>
    </row>
    <row r="27" spans="1:13" ht="25.5">
      <c r="A27" s="7">
        <v>23</v>
      </c>
      <c r="B27" s="7"/>
      <c r="C27" s="7" t="s">
        <v>257</v>
      </c>
      <c r="D27" s="8" t="s">
        <v>593</v>
      </c>
      <c r="E27" s="7">
        <v>15</v>
      </c>
      <c r="F27" s="7" t="str">
        <f>IFERROR(INDEX(Categories!$B$5:$B$27,MATCH(E27,Categories!$A$5:$A$27,0)),"")</f>
        <v>Integration</v>
      </c>
      <c r="G27" s="7" t="s">
        <v>594</v>
      </c>
      <c r="H27" s="7" t="s">
        <v>97</v>
      </c>
      <c r="I27" s="7" t="s">
        <v>98</v>
      </c>
      <c r="J27" s="13">
        <f>IFERROR(INDEX(Rates!$D$6:$D$15,MATCH(H27&amp;"|"&amp;I27,Rates!$C$6:$C$15,0)),0)</f>
        <v>100</v>
      </c>
      <c r="K27" s="14">
        <v>3</v>
      </c>
      <c r="L27" s="13">
        <f t="shared" si="0"/>
        <v>300</v>
      </c>
      <c r="M27" s="7" t="s">
        <v>595</v>
      </c>
    </row>
    <row r="28" spans="1:13" ht="25.5">
      <c r="A28" s="15">
        <v>24</v>
      </c>
      <c r="B28" s="15"/>
      <c r="C28" s="15" t="s">
        <v>257</v>
      </c>
      <c r="D28" s="16" t="s">
        <v>270</v>
      </c>
      <c r="E28" s="15">
        <v>15</v>
      </c>
      <c r="F28" s="15" t="str">
        <f>IFERROR(INDEX(Categories!$B$5:$B$27,MATCH(E28,Categories!$A$5:$A$27,0)),"")</f>
        <v>Integration</v>
      </c>
      <c r="G28" s="15" t="s">
        <v>596</v>
      </c>
      <c r="H28" s="15" t="s">
        <v>97</v>
      </c>
      <c r="I28" s="15" t="s">
        <v>98</v>
      </c>
      <c r="J28" s="17">
        <f>IFERROR(INDEX(Rates!$D$6:$D$15,MATCH(H28&amp;"|"&amp;I28,Rates!$C$6:$C$15,0)),0)</f>
        <v>100</v>
      </c>
      <c r="K28" s="18">
        <v>4</v>
      </c>
      <c r="L28" s="17">
        <f t="shared" si="0"/>
        <v>400</v>
      </c>
      <c r="M28" s="15" t="s">
        <v>597</v>
      </c>
    </row>
    <row r="29" spans="1:13">
      <c r="A29" s="7">
        <v>25</v>
      </c>
      <c r="B29" s="7"/>
      <c r="C29" s="7" t="s">
        <v>257</v>
      </c>
      <c r="D29" s="8" t="s">
        <v>598</v>
      </c>
      <c r="E29" s="7">
        <v>15</v>
      </c>
      <c r="F29" s="7" t="str">
        <f>IFERROR(INDEX(Categories!$B$5:$B$27,MATCH(E29,Categories!$A$5:$A$27,0)),"")</f>
        <v>Integration</v>
      </c>
      <c r="G29" s="7" t="s">
        <v>599</v>
      </c>
      <c r="H29" s="7" t="s">
        <v>97</v>
      </c>
      <c r="I29" s="7" t="s">
        <v>99</v>
      </c>
      <c r="J29" s="13">
        <f>IFERROR(INDEX(Rates!$D$6:$D$15,MATCH(H29&amp;"|"&amp;I29,Rates!$C$6:$C$15,0)),0)</f>
        <v>120</v>
      </c>
      <c r="K29" s="14">
        <v>6</v>
      </c>
      <c r="L29" s="13">
        <f t="shared" si="0"/>
        <v>720</v>
      </c>
      <c r="M29" s="7" t="s">
        <v>592</v>
      </c>
    </row>
    <row r="30" spans="1:13" ht="25.5">
      <c r="A30" s="15">
        <v>26</v>
      </c>
      <c r="B30" s="15"/>
      <c r="C30" s="15" t="s">
        <v>174</v>
      </c>
      <c r="D30" s="16" t="s">
        <v>175</v>
      </c>
      <c r="E30" s="15">
        <v>14</v>
      </c>
      <c r="F30" s="15" t="str">
        <f>IFERROR(INDEX(Categories!$B$5:$B$27,MATCH(E30,Categories!$A$5:$A$27,0)),"")</f>
        <v>Frontend</v>
      </c>
      <c r="G30" s="15" t="s">
        <v>600</v>
      </c>
      <c r="H30" s="15" t="s">
        <v>97</v>
      </c>
      <c r="I30" s="15" t="s">
        <v>98</v>
      </c>
      <c r="J30" s="17">
        <f>IFERROR(INDEX(Rates!$D$6:$D$15,MATCH(H30&amp;"|"&amp;I30,Rates!$C$6:$C$15,0)),0)</f>
        <v>100</v>
      </c>
      <c r="K30" s="18">
        <v>6</v>
      </c>
      <c r="L30" s="17">
        <f t="shared" si="0"/>
        <v>600</v>
      </c>
      <c r="M30" s="15" t="s">
        <v>601</v>
      </c>
    </row>
    <row r="31" spans="1:13" ht="25.5">
      <c r="A31" s="7">
        <v>27</v>
      </c>
      <c r="B31" s="7"/>
      <c r="C31" s="7" t="s">
        <v>178</v>
      </c>
      <c r="D31" s="8" t="s">
        <v>602</v>
      </c>
      <c r="E31" s="7">
        <v>14</v>
      </c>
      <c r="F31" s="7" t="str">
        <f>IFERROR(INDEX(Categories!$B$5:$B$27,MATCH(E31,Categories!$A$5:$A$27,0)),"")</f>
        <v>Frontend</v>
      </c>
      <c r="G31" s="7" t="s">
        <v>603</v>
      </c>
      <c r="H31" s="7" t="s">
        <v>97</v>
      </c>
      <c r="I31" s="7" t="s">
        <v>98</v>
      </c>
      <c r="J31" s="13">
        <f>IFERROR(INDEX(Rates!$D$6:$D$15,MATCH(H31&amp;"|"&amp;I31,Rates!$C$6:$C$15,0)),0)</f>
        <v>100</v>
      </c>
      <c r="K31" s="14">
        <v>6</v>
      </c>
      <c r="L31" s="13">
        <f t="shared" si="0"/>
        <v>600</v>
      </c>
      <c r="M31" s="7" t="s">
        <v>604</v>
      </c>
    </row>
    <row r="32" spans="1:13" ht="25.5">
      <c r="A32" s="15">
        <v>28</v>
      </c>
      <c r="B32" s="15"/>
      <c r="C32" s="15" t="s">
        <v>182</v>
      </c>
      <c r="D32" s="16" t="s">
        <v>605</v>
      </c>
      <c r="E32" s="15">
        <v>14</v>
      </c>
      <c r="F32" s="15" t="str">
        <f>IFERROR(INDEX(Categories!$B$5:$B$27,MATCH(E32,Categories!$A$5:$A$27,0)),"")</f>
        <v>Frontend</v>
      </c>
      <c r="G32" s="15" t="s">
        <v>606</v>
      </c>
      <c r="H32" s="15" t="s">
        <v>97</v>
      </c>
      <c r="I32" s="15" t="s">
        <v>98</v>
      </c>
      <c r="J32" s="17">
        <f>IFERROR(INDEX(Rates!$D$6:$D$15,MATCH(H32&amp;"|"&amp;I32,Rates!$C$6:$C$15,0)),0)</f>
        <v>100</v>
      </c>
      <c r="K32" s="18">
        <v>5</v>
      </c>
      <c r="L32" s="17">
        <f t="shared" si="0"/>
        <v>500</v>
      </c>
      <c r="M32" s="15" t="s">
        <v>607</v>
      </c>
    </row>
    <row r="33" spans="1:13">
      <c r="A33" s="7">
        <v>29</v>
      </c>
      <c r="B33" s="7"/>
      <c r="C33" s="7" t="s">
        <v>608</v>
      </c>
      <c r="D33" s="8" t="s">
        <v>609</v>
      </c>
      <c r="E33" s="7">
        <v>14</v>
      </c>
      <c r="F33" s="7" t="str">
        <f>IFERROR(INDEX(Categories!$B$5:$B$27,MATCH(E33,Categories!$A$5:$A$27,0)),"")</f>
        <v>Frontend</v>
      </c>
      <c r="G33" s="7" t="s">
        <v>610</v>
      </c>
      <c r="H33" s="7" t="s">
        <v>97</v>
      </c>
      <c r="I33" s="7" t="s">
        <v>98</v>
      </c>
      <c r="J33" s="13">
        <f>IFERROR(INDEX(Rates!$D$6:$D$15,MATCH(H33&amp;"|"&amp;I33,Rates!$C$6:$C$15,0)),0)</f>
        <v>100</v>
      </c>
      <c r="K33" s="14">
        <v>5</v>
      </c>
      <c r="L33" s="13">
        <f t="shared" si="0"/>
        <v>500</v>
      </c>
      <c r="M33" s="7"/>
    </row>
    <row r="34" spans="1:13">
      <c r="A34" s="15">
        <v>30</v>
      </c>
      <c r="B34" s="15"/>
      <c r="C34" s="15" t="s">
        <v>232</v>
      </c>
      <c r="D34" s="16" t="s">
        <v>611</v>
      </c>
      <c r="E34" s="15">
        <v>14</v>
      </c>
      <c r="F34" s="15" t="str">
        <f>IFERROR(INDEX(Categories!$B$5:$B$27,MATCH(E34,Categories!$A$5:$A$27,0)),"")</f>
        <v>Frontend</v>
      </c>
      <c r="G34" s="15" t="s">
        <v>612</v>
      </c>
      <c r="H34" s="15" t="s">
        <v>97</v>
      </c>
      <c r="I34" s="15" t="s">
        <v>98</v>
      </c>
      <c r="J34" s="17">
        <f>IFERROR(INDEX(Rates!$D$6:$D$15,MATCH(H34&amp;"|"&amp;I34,Rates!$C$6:$C$15,0)),0)</f>
        <v>100</v>
      </c>
      <c r="K34" s="18">
        <v>2</v>
      </c>
      <c r="L34" s="17">
        <f t="shared" si="0"/>
        <v>200</v>
      </c>
      <c r="M34" s="15" t="s">
        <v>235</v>
      </c>
    </row>
    <row r="35" spans="1:13">
      <c r="A35" s="7">
        <v>31</v>
      </c>
      <c r="B35" s="7"/>
      <c r="C35" s="7" t="s">
        <v>613</v>
      </c>
      <c r="D35" s="8" t="s">
        <v>614</v>
      </c>
      <c r="E35" s="7">
        <v>14</v>
      </c>
      <c r="F35" s="7" t="str">
        <f>IFERROR(INDEX(Categories!$B$5:$B$27,MATCH(E35,Categories!$A$5:$A$27,0)),"")</f>
        <v>Frontend</v>
      </c>
      <c r="G35" s="7" t="s">
        <v>615</v>
      </c>
      <c r="H35" s="7" t="s">
        <v>97</v>
      </c>
      <c r="I35" s="7" t="s">
        <v>98</v>
      </c>
      <c r="J35" s="13">
        <f>IFERROR(INDEX(Rates!$D$6:$D$15,MATCH(H35&amp;"|"&amp;I35,Rates!$C$6:$C$15,0)),0)</f>
        <v>100</v>
      </c>
      <c r="K35" s="14">
        <v>2</v>
      </c>
      <c r="L35" s="13">
        <f t="shared" si="0"/>
        <v>200</v>
      </c>
      <c r="M35" s="7"/>
    </row>
    <row r="36" spans="1:13">
      <c r="A36" s="15">
        <v>32</v>
      </c>
      <c r="B36" s="15"/>
      <c r="C36" s="15" t="s">
        <v>616</v>
      </c>
      <c r="D36" s="16" t="s">
        <v>617</v>
      </c>
      <c r="E36" s="15">
        <v>2</v>
      </c>
      <c r="F36" s="15" t="str">
        <f>IFERROR(INDEX(Categories!$B$5:$B$27,MATCH(E36,Categories!$A$5:$A$27,0)),"")</f>
        <v>Backend</v>
      </c>
      <c r="G36" s="15" t="s">
        <v>618</v>
      </c>
      <c r="H36" s="15" t="s">
        <v>97</v>
      </c>
      <c r="I36" s="15" t="s">
        <v>98</v>
      </c>
      <c r="J36" s="17">
        <f>IFERROR(INDEX(Rates!$D$6:$D$15,MATCH(H36&amp;"|"&amp;I36,Rates!$C$6:$C$15,0)),0)</f>
        <v>100</v>
      </c>
      <c r="K36" s="18">
        <v>6</v>
      </c>
      <c r="L36" s="17">
        <f t="shared" si="0"/>
        <v>600</v>
      </c>
      <c r="M36" s="15" t="s">
        <v>619</v>
      </c>
    </row>
    <row r="37" spans="1:13">
      <c r="A37" s="7">
        <v>33</v>
      </c>
      <c r="B37" s="7"/>
      <c r="C37" s="7" t="s">
        <v>616</v>
      </c>
      <c r="D37" s="8" t="s">
        <v>620</v>
      </c>
      <c r="E37" s="7">
        <v>2</v>
      </c>
      <c r="F37" s="7" t="str">
        <f>IFERROR(INDEX(Categories!$B$5:$B$27,MATCH(E37,Categories!$A$5:$A$27,0)),"")</f>
        <v>Backend</v>
      </c>
      <c r="G37" s="7" t="s">
        <v>621</v>
      </c>
      <c r="H37" s="7" t="s">
        <v>97</v>
      </c>
      <c r="I37" s="7" t="s">
        <v>98</v>
      </c>
      <c r="J37" s="13">
        <f>IFERROR(INDEX(Rates!$D$6:$D$15,MATCH(H37&amp;"|"&amp;I37,Rates!$C$6:$C$15,0)),0)</f>
        <v>100</v>
      </c>
      <c r="K37" s="14">
        <v>4</v>
      </c>
      <c r="L37" s="13">
        <f t="shared" ref="L37:L68" si="1">K37*J37</f>
        <v>400</v>
      </c>
      <c r="M37" s="7" t="s">
        <v>622</v>
      </c>
    </row>
    <row r="38" spans="1:13" ht="25.5">
      <c r="A38" s="15">
        <v>34</v>
      </c>
      <c r="B38" s="15"/>
      <c r="C38" s="15" t="s">
        <v>68</v>
      </c>
      <c r="D38" s="16" t="s">
        <v>623</v>
      </c>
      <c r="E38" s="15">
        <v>12</v>
      </c>
      <c r="F38" s="15" t="str">
        <f>IFERROR(INDEX(Categories!$B$5:$B$27,MATCH(E38,Categories!$A$5:$A$27,0)),"")</f>
        <v>E-Commerce</v>
      </c>
      <c r="G38" s="15" t="s">
        <v>624</v>
      </c>
      <c r="H38" s="15" t="s">
        <v>97</v>
      </c>
      <c r="I38" s="15" t="s">
        <v>98</v>
      </c>
      <c r="J38" s="17">
        <f>IFERROR(INDEX(Rates!$D$6:$D$15,MATCH(H38&amp;"|"&amp;I38,Rates!$C$6:$C$15,0)),0)</f>
        <v>100</v>
      </c>
      <c r="K38" s="18">
        <v>5</v>
      </c>
      <c r="L38" s="17">
        <f t="shared" si="1"/>
        <v>500</v>
      </c>
      <c r="M38" s="15" t="s">
        <v>625</v>
      </c>
    </row>
    <row r="39" spans="1:13">
      <c r="A39" s="7">
        <v>35</v>
      </c>
      <c r="B39" s="7"/>
      <c r="C39" s="7" t="s">
        <v>68</v>
      </c>
      <c r="D39" s="8" t="s">
        <v>626</v>
      </c>
      <c r="E39" s="7">
        <v>12</v>
      </c>
      <c r="F39" s="7" t="str">
        <f>IFERROR(INDEX(Categories!$B$5:$B$27,MATCH(E39,Categories!$A$5:$A$27,0)),"")</f>
        <v>E-Commerce</v>
      </c>
      <c r="G39" s="7" t="s">
        <v>627</v>
      </c>
      <c r="H39" s="7" t="s">
        <v>97</v>
      </c>
      <c r="I39" s="7" t="s">
        <v>98</v>
      </c>
      <c r="J39" s="13">
        <f>IFERROR(INDEX(Rates!$D$6:$D$15,MATCH(H39&amp;"|"&amp;I39,Rates!$C$6:$C$15,0)),0)</f>
        <v>100</v>
      </c>
      <c r="K39" s="14">
        <v>5</v>
      </c>
      <c r="L39" s="13">
        <f t="shared" si="1"/>
        <v>500</v>
      </c>
      <c r="M39" s="7"/>
    </row>
    <row r="40" spans="1:13">
      <c r="A40" s="15">
        <v>36</v>
      </c>
      <c r="B40" s="15"/>
      <c r="C40" s="15" t="s">
        <v>68</v>
      </c>
      <c r="D40" s="16" t="s">
        <v>311</v>
      </c>
      <c r="E40" s="15">
        <v>12</v>
      </c>
      <c r="F40" s="15" t="str">
        <f>IFERROR(INDEX(Categories!$B$5:$B$27,MATCH(E40,Categories!$A$5:$A$27,0)),"")</f>
        <v>E-Commerce</v>
      </c>
      <c r="G40" s="15" t="s">
        <v>628</v>
      </c>
      <c r="H40" s="15" t="s">
        <v>97</v>
      </c>
      <c r="I40" s="15" t="s">
        <v>98</v>
      </c>
      <c r="J40" s="17">
        <f>IFERROR(INDEX(Rates!$D$6:$D$15,MATCH(H40&amp;"|"&amp;I40,Rates!$C$6:$C$15,0)),0)</f>
        <v>100</v>
      </c>
      <c r="K40" s="18">
        <v>3</v>
      </c>
      <c r="L40" s="17">
        <f t="shared" si="1"/>
        <v>300</v>
      </c>
      <c r="M40" s="15" t="s">
        <v>629</v>
      </c>
    </row>
    <row r="41" spans="1:13">
      <c r="A41" s="7">
        <v>37</v>
      </c>
      <c r="B41" s="7"/>
      <c r="C41" s="7" t="s">
        <v>68</v>
      </c>
      <c r="D41" s="8" t="s">
        <v>314</v>
      </c>
      <c r="E41" s="7">
        <v>12</v>
      </c>
      <c r="F41" s="7" t="str">
        <f>IFERROR(INDEX(Categories!$B$5:$B$27,MATCH(E41,Categories!$A$5:$A$27,0)),"")</f>
        <v>E-Commerce</v>
      </c>
      <c r="G41" s="7" t="s">
        <v>630</v>
      </c>
      <c r="H41" s="7" t="s">
        <v>97</v>
      </c>
      <c r="I41" s="7" t="s">
        <v>98</v>
      </c>
      <c r="J41" s="13">
        <f>IFERROR(INDEX(Rates!$D$6:$D$15,MATCH(H41&amp;"|"&amp;I41,Rates!$C$6:$C$15,0)),0)</f>
        <v>100</v>
      </c>
      <c r="K41" s="14">
        <v>4</v>
      </c>
      <c r="L41" s="13">
        <f t="shared" si="1"/>
        <v>400</v>
      </c>
      <c r="M41" s="7" t="s">
        <v>631</v>
      </c>
    </row>
    <row r="42" spans="1:13">
      <c r="A42" s="15">
        <v>38</v>
      </c>
      <c r="B42" s="15"/>
      <c r="C42" s="15" t="s">
        <v>68</v>
      </c>
      <c r="D42" s="16" t="s">
        <v>632</v>
      </c>
      <c r="E42" s="15">
        <v>12</v>
      </c>
      <c r="F42" s="15" t="str">
        <f>IFERROR(INDEX(Categories!$B$5:$B$27,MATCH(E42,Categories!$A$5:$A$27,0)),"")</f>
        <v>E-Commerce</v>
      </c>
      <c r="G42" s="15" t="s">
        <v>633</v>
      </c>
      <c r="H42" s="15" t="s">
        <v>97</v>
      </c>
      <c r="I42" s="15" t="s">
        <v>98</v>
      </c>
      <c r="J42" s="17">
        <f>IFERROR(INDEX(Rates!$D$6:$D$15,MATCH(H42&amp;"|"&amp;I42,Rates!$C$6:$C$15,0)),0)</f>
        <v>100</v>
      </c>
      <c r="K42" s="18">
        <v>3</v>
      </c>
      <c r="L42" s="17">
        <f t="shared" si="1"/>
        <v>300</v>
      </c>
      <c r="M42" s="15" t="s">
        <v>634</v>
      </c>
    </row>
    <row r="43" spans="1:13">
      <c r="A43" s="7">
        <v>39</v>
      </c>
      <c r="B43" s="7"/>
      <c r="C43" s="7" t="s">
        <v>68</v>
      </c>
      <c r="D43" s="8" t="s">
        <v>635</v>
      </c>
      <c r="E43" s="7">
        <v>12</v>
      </c>
      <c r="F43" s="7" t="str">
        <f>IFERROR(INDEX(Categories!$B$5:$B$27,MATCH(E43,Categories!$A$5:$A$27,0)),"")</f>
        <v>E-Commerce</v>
      </c>
      <c r="G43" s="7" t="s">
        <v>636</v>
      </c>
      <c r="H43" s="7" t="s">
        <v>97</v>
      </c>
      <c r="I43" s="7" t="s">
        <v>98</v>
      </c>
      <c r="J43" s="13">
        <f>IFERROR(INDEX(Rates!$D$6:$D$15,MATCH(H43&amp;"|"&amp;I43,Rates!$C$6:$C$15,0)),0)</f>
        <v>100</v>
      </c>
      <c r="K43" s="14">
        <v>4</v>
      </c>
      <c r="L43" s="13">
        <f t="shared" si="1"/>
        <v>400</v>
      </c>
      <c r="M43" s="7" t="s">
        <v>637</v>
      </c>
    </row>
    <row r="44" spans="1:13">
      <c r="A44" s="15">
        <v>40</v>
      </c>
      <c r="B44" s="15"/>
      <c r="C44" s="15" t="s">
        <v>68</v>
      </c>
      <c r="D44" s="16" t="s">
        <v>638</v>
      </c>
      <c r="E44" s="15">
        <v>12</v>
      </c>
      <c r="F44" s="15" t="str">
        <f>IFERROR(INDEX(Categories!$B$5:$B$27,MATCH(E44,Categories!$A$5:$A$27,0)),"")</f>
        <v>E-Commerce</v>
      </c>
      <c r="G44" s="15" t="s">
        <v>639</v>
      </c>
      <c r="H44" s="15" t="s">
        <v>97</v>
      </c>
      <c r="I44" s="15" t="s">
        <v>98</v>
      </c>
      <c r="J44" s="17">
        <f>IFERROR(INDEX(Rates!$D$6:$D$15,MATCH(H44&amp;"|"&amp;I44,Rates!$C$6:$C$15,0)),0)</f>
        <v>100</v>
      </c>
      <c r="K44" s="18">
        <v>3</v>
      </c>
      <c r="L44" s="17">
        <f t="shared" si="1"/>
        <v>300</v>
      </c>
      <c r="M44" s="15" t="s">
        <v>640</v>
      </c>
    </row>
    <row r="45" spans="1:13">
      <c r="A45" s="7">
        <v>41</v>
      </c>
      <c r="B45" s="7"/>
      <c r="C45" s="7" t="s">
        <v>68</v>
      </c>
      <c r="D45" s="8" t="s">
        <v>641</v>
      </c>
      <c r="E45" s="7">
        <v>12</v>
      </c>
      <c r="F45" s="7" t="str">
        <f>IFERROR(INDEX(Categories!$B$5:$B$27,MATCH(E45,Categories!$A$5:$A$27,0)),"")</f>
        <v>E-Commerce</v>
      </c>
      <c r="G45" s="7" t="s">
        <v>642</v>
      </c>
      <c r="H45" s="7" t="s">
        <v>97</v>
      </c>
      <c r="I45" s="7" t="s">
        <v>98</v>
      </c>
      <c r="J45" s="13">
        <f>IFERROR(INDEX(Rates!$D$6:$D$15,MATCH(H45&amp;"|"&amp;I45,Rates!$C$6:$C$15,0)),0)</f>
        <v>100</v>
      </c>
      <c r="K45" s="14">
        <v>4</v>
      </c>
      <c r="L45" s="13">
        <f t="shared" si="1"/>
        <v>400</v>
      </c>
      <c r="M45" s="7"/>
    </row>
    <row r="46" spans="1:13" ht="25.5">
      <c r="A46" s="15">
        <v>42</v>
      </c>
      <c r="B46" s="15"/>
      <c r="C46" s="15" t="s">
        <v>68</v>
      </c>
      <c r="D46" s="16" t="s">
        <v>643</v>
      </c>
      <c r="E46" s="15">
        <v>12</v>
      </c>
      <c r="F46" s="15" t="str">
        <f>IFERROR(INDEX(Categories!$B$5:$B$27,MATCH(E46,Categories!$A$5:$A$27,0)),"")</f>
        <v>E-Commerce</v>
      </c>
      <c r="G46" s="15" t="s">
        <v>644</v>
      </c>
      <c r="H46" s="15" t="s">
        <v>100</v>
      </c>
      <c r="I46" s="15" t="s">
        <v>98</v>
      </c>
      <c r="J46" s="17">
        <f>IFERROR(INDEX(Rates!$D$6:$D$15,MATCH(H46&amp;"|"&amp;I46,Rates!$C$6:$C$15,0)),0)</f>
        <v>100</v>
      </c>
      <c r="K46" s="18">
        <v>3</v>
      </c>
      <c r="L46" s="17">
        <f t="shared" si="1"/>
        <v>300</v>
      </c>
      <c r="M46" s="15" t="s">
        <v>645</v>
      </c>
    </row>
    <row r="47" spans="1:13">
      <c r="A47" s="7">
        <v>43</v>
      </c>
      <c r="B47" s="7"/>
      <c r="C47" s="7" t="s">
        <v>68</v>
      </c>
      <c r="D47" s="8" t="s">
        <v>646</v>
      </c>
      <c r="E47" s="7">
        <v>12</v>
      </c>
      <c r="F47" s="7" t="str">
        <f>IFERROR(INDEX(Categories!$B$5:$B$27,MATCH(E47,Categories!$A$5:$A$27,0)),"")</f>
        <v>E-Commerce</v>
      </c>
      <c r="G47" s="7" t="s">
        <v>647</v>
      </c>
      <c r="H47" s="7" t="s">
        <v>97</v>
      </c>
      <c r="I47" s="7" t="s">
        <v>98</v>
      </c>
      <c r="J47" s="13">
        <f>IFERROR(INDEX(Rates!$D$6:$D$15,MATCH(H47&amp;"|"&amp;I47,Rates!$C$6:$C$15,0)),0)</f>
        <v>100</v>
      </c>
      <c r="K47" s="14">
        <v>4</v>
      </c>
      <c r="L47" s="13">
        <f t="shared" si="1"/>
        <v>400</v>
      </c>
      <c r="M47" s="7"/>
    </row>
    <row r="48" spans="1:13">
      <c r="A48" s="15">
        <v>44</v>
      </c>
      <c r="B48" s="15"/>
      <c r="C48" s="15" t="s">
        <v>68</v>
      </c>
      <c r="D48" s="16" t="s">
        <v>648</v>
      </c>
      <c r="E48" s="15">
        <v>12</v>
      </c>
      <c r="F48" s="15" t="str">
        <f>IFERROR(INDEX(Categories!$B$5:$B$27,MATCH(E48,Categories!$A$5:$A$27,0)),"")</f>
        <v>E-Commerce</v>
      </c>
      <c r="G48" s="15" t="s">
        <v>649</v>
      </c>
      <c r="H48" s="15" t="s">
        <v>97</v>
      </c>
      <c r="I48" s="15" t="s">
        <v>98</v>
      </c>
      <c r="J48" s="17">
        <f>IFERROR(INDEX(Rates!$D$6:$D$15,MATCH(H48&amp;"|"&amp;I48,Rates!$C$6:$C$15,0)),0)</f>
        <v>100</v>
      </c>
      <c r="K48" s="18">
        <v>3</v>
      </c>
      <c r="L48" s="17">
        <f t="shared" si="1"/>
        <v>300</v>
      </c>
      <c r="M48" s="15" t="s">
        <v>650</v>
      </c>
    </row>
    <row r="49" spans="1:13" ht="25.5">
      <c r="A49" s="7">
        <v>45</v>
      </c>
      <c r="B49" s="7"/>
      <c r="C49" s="7" t="s">
        <v>419</v>
      </c>
      <c r="D49" s="8" t="s">
        <v>420</v>
      </c>
      <c r="E49" s="7">
        <v>4</v>
      </c>
      <c r="F49" s="7" t="str">
        <f>IFERROR(INDEX(Categories!$B$5:$B$27,MATCH(E49,Categories!$A$5:$A$27,0)),"")</f>
        <v>Conversion Tracking</v>
      </c>
      <c r="G49" s="7" t="s">
        <v>651</v>
      </c>
      <c r="H49" s="7" t="s">
        <v>97</v>
      </c>
      <c r="I49" s="7" t="s">
        <v>98</v>
      </c>
      <c r="J49" s="13">
        <f>IFERROR(INDEX(Rates!$D$6:$D$15,MATCH(H49&amp;"|"&amp;I49,Rates!$C$6:$C$15,0)),0)</f>
        <v>100</v>
      </c>
      <c r="K49" s="14">
        <v>2</v>
      </c>
      <c r="L49" s="13">
        <f t="shared" si="1"/>
        <v>200</v>
      </c>
      <c r="M49" s="7" t="s">
        <v>422</v>
      </c>
    </row>
    <row r="50" spans="1:13">
      <c r="A50" s="15">
        <v>46</v>
      </c>
      <c r="B50" s="15"/>
      <c r="C50" s="15" t="s">
        <v>419</v>
      </c>
      <c r="D50" s="16" t="s">
        <v>423</v>
      </c>
      <c r="E50" s="15">
        <v>4</v>
      </c>
      <c r="F50" s="15" t="str">
        <f>IFERROR(INDEX(Categories!$B$5:$B$27,MATCH(E50,Categories!$A$5:$A$27,0)),"")</f>
        <v>Conversion Tracking</v>
      </c>
      <c r="G50" s="15" t="s">
        <v>652</v>
      </c>
      <c r="H50" s="15" t="s">
        <v>97</v>
      </c>
      <c r="I50" s="15" t="s">
        <v>98</v>
      </c>
      <c r="J50" s="17">
        <f>IFERROR(INDEX(Rates!$D$6:$D$15,MATCH(H50&amp;"|"&amp;I50,Rates!$C$6:$C$15,0)),0)</f>
        <v>100</v>
      </c>
      <c r="K50" s="18">
        <v>3</v>
      </c>
      <c r="L50" s="17">
        <f t="shared" si="1"/>
        <v>300</v>
      </c>
      <c r="M50" s="15" t="s">
        <v>592</v>
      </c>
    </row>
    <row r="51" spans="1:13" ht="25.5">
      <c r="A51" s="7">
        <v>47</v>
      </c>
      <c r="B51" s="7"/>
      <c r="C51" s="7" t="s">
        <v>419</v>
      </c>
      <c r="D51" s="8" t="s">
        <v>653</v>
      </c>
      <c r="E51" s="7">
        <v>4</v>
      </c>
      <c r="F51" s="7" t="str">
        <f>IFERROR(INDEX(Categories!$B$5:$B$27,MATCH(E51,Categories!$A$5:$A$27,0)),"")</f>
        <v>Conversion Tracking</v>
      </c>
      <c r="G51" s="7" t="s">
        <v>654</v>
      </c>
      <c r="H51" s="7" t="s">
        <v>97</v>
      </c>
      <c r="I51" s="7" t="s">
        <v>98</v>
      </c>
      <c r="J51" s="13">
        <f>IFERROR(INDEX(Rates!$D$6:$D$15,MATCH(H51&amp;"|"&amp;I51,Rates!$C$6:$C$15,0)),0)</f>
        <v>100</v>
      </c>
      <c r="K51" s="14">
        <v>4</v>
      </c>
      <c r="L51" s="13">
        <f t="shared" si="1"/>
        <v>400</v>
      </c>
      <c r="M51" s="7" t="s">
        <v>655</v>
      </c>
    </row>
    <row r="52" spans="1:13" ht="25.5">
      <c r="A52" s="15">
        <v>48</v>
      </c>
      <c r="B52" s="15"/>
      <c r="C52" s="15" t="s">
        <v>419</v>
      </c>
      <c r="D52" s="16" t="s">
        <v>426</v>
      </c>
      <c r="E52" s="15">
        <v>4</v>
      </c>
      <c r="F52" s="15" t="str">
        <f>IFERROR(INDEX(Categories!$B$5:$B$27,MATCH(E52,Categories!$A$5:$A$27,0)),"")</f>
        <v>Conversion Tracking</v>
      </c>
      <c r="G52" s="15" t="s">
        <v>656</v>
      </c>
      <c r="H52" s="15" t="s">
        <v>97</v>
      </c>
      <c r="I52" s="15" t="s">
        <v>98</v>
      </c>
      <c r="J52" s="17">
        <f>IFERROR(INDEX(Rates!$D$6:$D$15,MATCH(H52&amp;"|"&amp;I52,Rates!$C$6:$C$15,0)),0)</f>
        <v>100</v>
      </c>
      <c r="K52" s="18">
        <v>1</v>
      </c>
      <c r="L52" s="17">
        <f t="shared" si="1"/>
        <v>100</v>
      </c>
      <c r="M52" s="15" t="s">
        <v>657</v>
      </c>
    </row>
    <row r="53" spans="1:13">
      <c r="A53" s="7">
        <v>49</v>
      </c>
      <c r="B53" s="7"/>
      <c r="C53" s="7" t="s">
        <v>429</v>
      </c>
      <c r="D53" s="8" t="s">
        <v>658</v>
      </c>
      <c r="E53" s="7">
        <v>22</v>
      </c>
      <c r="F53" s="7" t="str">
        <f>IFERROR(INDEX(Categories!$B$5:$B$27,MATCH(E53,Categories!$A$5:$A$27,0)),"")</f>
        <v>SEO &amp; Content</v>
      </c>
      <c r="G53" s="7" t="s">
        <v>659</v>
      </c>
      <c r="H53" s="7" t="s">
        <v>97</v>
      </c>
      <c r="I53" s="7" t="s">
        <v>98</v>
      </c>
      <c r="J53" s="13">
        <f>IFERROR(INDEX(Rates!$D$6:$D$15,MATCH(H53&amp;"|"&amp;I53,Rates!$C$6:$C$15,0)),0)</f>
        <v>100</v>
      </c>
      <c r="K53" s="14">
        <v>2</v>
      </c>
      <c r="L53" s="13">
        <f t="shared" si="1"/>
        <v>200</v>
      </c>
      <c r="M53" s="7" t="s">
        <v>432</v>
      </c>
    </row>
    <row r="54" spans="1:13">
      <c r="A54" s="15">
        <v>50</v>
      </c>
      <c r="B54" s="15"/>
      <c r="C54" s="15" t="s">
        <v>429</v>
      </c>
      <c r="D54" s="16" t="s">
        <v>660</v>
      </c>
      <c r="E54" s="15">
        <v>22</v>
      </c>
      <c r="F54" s="15" t="str">
        <f>IFERROR(INDEX(Categories!$B$5:$B$27,MATCH(E54,Categories!$A$5:$A$27,0)),"")</f>
        <v>SEO &amp; Content</v>
      </c>
      <c r="G54" s="15" t="s">
        <v>661</v>
      </c>
      <c r="H54" s="15" t="s">
        <v>97</v>
      </c>
      <c r="I54" s="15" t="s">
        <v>98</v>
      </c>
      <c r="J54" s="17">
        <f>IFERROR(INDEX(Rates!$D$6:$D$15,MATCH(H54&amp;"|"&amp;I54,Rates!$C$6:$C$15,0)),0)</f>
        <v>100</v>
      </c>
      <c r="K54" s="18">
        <v>2</v>
      </c>
      <c r="L54" s="17">
        <f t="shared" si="1"/>
        <v>200</v>
      </c>
      <c r="M54" s="15" t="s">
        <v>435</v>
      </c>
    </row>
    <row r="55" spans="1:13" ht="25.5">
      <c r="A55" s="7">
        <v>51</v>
      </c>
      <c r="B55" s="7"/>
      <c r="C55" s="7" t="s">
        <v>429</v>
      </c>
      <c r="D55" s="8" t="s">
        <v>662</v>
      </c>
      <c r="E55" s="7">
        <v>22</v>
      </c>
      <c r="F55" s="7" t="str">
        <f>IFERROR(INDEX(Categories!$B$5:$B$27,MATCH(E55,Categories!$A$5:$A$27,0)),"")</f>
        <v>SEO &amp; Content</v>
      </c>
      <c r="G55" s="7" t="s">
        <v>663</v>
      </c>
      <c r="H55" s="7" t="s">
        <v>97</v>
      </c>
      <c r="I55" s="7" t="s">
        <v>98</v>
      </c>
      <c r="J55" s="13">
        <f>IFERROR(INDEX(Rates!$D$6:$D$15,MATCH(H55&amp;"|"&amp;I55,Rates!$C$6:$C$15,0)),0)</f>
        <v>100</v>
      </c>
      <c r="K55" s="14">
        <v>2</v>
      </c>
      <c r="L55" s="13">
        <f t="shared" si="1"/>
        <v>200</v>
      </c>
      <c r="M55" s="7" t="s">
        <v>438</v>
      </c>
    </row>
    <row r="56" spans="1:13">
      <c r="A56" s="15">
        <v>52</v>
      </c>
      <c r="B56" s="15"/>
      <c r="C56" s="15" t="s">
        <v>84</v>
      </c>
      <c r="D56" s="16" t="s">
        <v>664</v>
      </c>
      <c r="E56" s="15">
        <v>24</v>
      </c>
      <c r="F56" s="15" t="str">
        <f>IFERROR(INDEX(Categories!$B$5:$B$27,MATCH(E56,Categories!$A$5:$A$27,0)),"")</f>
        <v>SEO on-page</v>
      </c>
      <c r="G56" s="15" t="s">
        <v>665</v>
      </c>
      <c r="H56" s="15" t="s">
        <v>97</v>
      </c>
      <c r="I56" s="15" t="s">
        <v>98</v>
      </c>
      <c r="J56" s="17">
        <f>IFERROR(INDEX(Rates!$D$6:$D$15,MATCH(H56&amp;"|"&amp;I56,Rates!$C$6:$C$15,0)),0)</f>
        <v>100</v>
      </c>
      <c r="K56" s="18">
        <v>3</v>
      </c>
      <c r="L56" s="17">
        <f t="shared" si="1"/>
        <v>300</v>
      </c>
      <c r="M56" s="15" t="s">
        <v>666</v>
      </c>
    </row>
    <row r="57" spans="1:13" ht="25.5">
      <c r="A57" s="7">
        <v>53</v>
      </c>
      <c r="B57" s="7"/>
      <c r="C57" s="7" t="s">
        <v>84</v>
      </c>
      <c r="D57" s="8" t="s">
        <v>667</v>
      </c>
      <c r="E57" s="7">
        <v>24</v>
      </c>
      <c r="F57" s="7" t="str">
        <f>IFERROR(INDEX(Categories!$B$5:$B$27,MATCH(E57,Categories!$A$5:$A$27,0)),"")</f>
        <v>SEO on-page</v>
      </c>
      <c r="G57" s="7" t="s">
        <v>668</v>
      </c>
      <c r="H57" s="7" t="s">
        <v>97</v>
      </c>
      <c r="I57" s="7" t="s">
        <v>98</v>
      </c>
      <c r="J57" s="13">
        <f>IFERROR(INDEX(Rates!$D$6:$D$15,MATCH(H57&amp;"|"&amp;I57,Rates!$C$6:$C$15,0)),0)</f>
        <v>100</v>
      </c>
      <c r="K57" s="14">
        <v>0</v>
      </c>
      <c r="L57" s="13">
        <f t="shared" si="1"/>
        <v>0</v>
      </c>
      <c r="M57" s="7" t="s">
        <v>669</v>
      </c>
    </row>
    <row r="58" spans="1:13">
      <c r="A58" s="15">
        <v>54</v>
      </c>
      <c r="B58" s="15"/>
      <c r="C58" s="15" t="s">
        <v>84</v>
      </c>
      <c r="D58" s="16" t="s">
        <v>670</v>
      </c>
      <c r="E58" s="15">
        <v>24</v>
      </c>
      <c r="F58" s="15" t="str">
        <f>IFERROR(INDEX(Categories!$B$5:$B$27,MATCH(E58,Categories!$A$5:$A$27,0)),"")</f>
        <v>SEO on-page</v>
      </c>
      <c r="G58" s="15" t="s">
        <v>671</v>
      </c>
      <c r="H58" s="15" t="s">
        <v>97</v>
      </c>
      <c r="I58" s="15" t="s">
        <v>98</v>
      </c>
      <c r="J58" s="17">
        <f>IFERROR(INDEX(Rates!$D$6:$D$15,MATCH(H58&amp;"|"&amp;I58,Rates!$C$6:$C$15,0)),0)</f>
        <v>100</v>
      </c>
      <c r="K58" s="18">
        <v>1</v>
      </c>
      <c r="L58" s="17">
        <f t="shared" si="1"/>
        <v>100</v>
      </c>
      <c r="M58" s="15" t="s">
        <v>672</v>
      </c>
    </row>
    <row r="59" spans="1:13">
      <c r="A59" s="7">
        <v>55</v>
      </c>
      <c r="B59" s="7"/>
      <c r="C59" s="7" t="s">
        <v>84</v>
      </c>
      <c r="D59" s="8" t="s">
        <v>673</v>
      </c>
      <c r="E59" s="7">
        <v>24</v>
      </c>
      <c r="F59" s="7" t="str">
        <f>IFERROR(INDEX(Categories!$B$5:$B$27,MATCH(E59,Categories!$A$5:$A$27,0)),"")</f>
        <v>SEO on-page</v>
      </c>
      <c r="G59" s="7" t="s">
        <v>674</v>
      </c>
      <c r="H59" s="7" t="s">
        <v>97</v>
      </c>
      <c r="I59" s="7" t="s">
        <v>98</v>
      </c>
      <c r="J59" s="13">
        <f>IFERROR(INDEX(Rates!$D$6:$D$15,MATCH(H59&amp;"|"&amp;I59,Rates!$C$6:$C$15,0)),0)</f>
        <v>100</v>
      </c>
      <c r="K59" s="14">
        <v>2</v>
      </c>
      <c r="L59" s="13">
        <f t="shared" si="1"/>
        <v>200</v>
      </c>
      <c r="M59" s="7" t="s">
        <v>675</v>
      </c>
    </row>
    <row r="60" spans="1:13">
      <c r="A60" s="15">
        <v>56</v>
      </c>
      <c r="B60" s="15"/>
      <c r="C60" s="15" t="s">
        <v>84</v>
      </c>
      <c r="D60" s="16" t="s">
        <v>676</v>
      </c>
      <c r="E60" s="15">
        <v>22</v>
      </c>
      <c r="F60" s="15" t="str">
        <f>IFERROR(INDEX(Categories!$B$5:$B$27,MATCH(E60,Categories!$A$5:$A$27,0)),"")</f>
        <v>SEO &amp; Content</v>
      </c>
      <c r="G60" s="15" t="s">
        <v>677</v>
      </c>
      <c r="H60" s="15" t="s">
        <v>100</v>
      </c>
      <c r="I60" s="15" t="s">
        <v>98</v>
      </c>
      <c r="J60" s="17">
        <f>IFERROR(INDEX(Rates!$D$6:$D$15,MATCH(H60&amp;"|"&amp;I60,Rates!$C$6:$C$15,0)),0)</f>
        <v>100</v>
      </c>
      <c r="K60" s="18">
        <v>3</v>
      </c>
      <c r="L60" s="17">
        <f t="shared" si="1"/>
        <v>300</v>
      </c>
      <c r="M60" s="15" t="s">
        <v>451</v>
      </c>
    </row>
    <row r="61" spans="1:13">
      <c r="A61" s="7">
        <v>57</v>
      </c>
      <c r="B61" s="7"/>
      <c r="C61" s="7" t="s">
        <v>84</v>
      </c>
      <c r="D61" s="8" t="s">
        <v>678</v>
      </c>
      <c r="E61" s="7">
        <v>22</v>
      </c>
      <c r="F61" s="7" t="str">
        <f>IFERROR(INDEX(Categories!$B$5:$B$27,MATCH(E61,Categories!$A$5:$A$27,0)),"")</f>
        <v>SEO &amp; Content</v>
      </c>
      <c r="G61" s="7" t="s">
        <v>679</v>
      </c>
      <c r="H61" s="7" t="s">
        <v>100</v>
      </c>
      <c r="I61" s="7" t="s">
        <v>99</v>
      </c>
      <c r="J61" s="13">
        <f>IFERROR(INDEX(Rates!$D$6:$D$15,MATCH(H61&amp;"|"&amp;I61,Rates!$C$6:$C$15,0)),0)</f>
        <v>130</v>
      </c>
      <c r="K61" s="14">
        <v>6</v>
      </c>
      <c r="L61" s="13">
        <f t="shared" si="1"/>
        <v>780</v>
      </c>
      <c r="M61" s="7" t="s">
        <v>680</v>
      </c>
    </row>
    <row r="62" spans="1:13" ht="25.5">
      <c r="A62" s="15">
        <v>58</v>
      </c>
      <c r="B62" s="15"/>
      <c r="C62" s="15" t="s">
        <v>681</v>
      </c>
      <c r="D62" s="16" t="s">
        <v>682</v>
      </c>
      <c r="E62" s="15">
        <v>18</v>
      </c>
      <c r="F62" s="15" t="str">
        <f>IFERROR(INDEX(Categories!$B$5:$B$27,MATCH(E62,Categories!$A$5:$A$27,0)),"")</f>
        <v>Performance &amp; Security</v>
      </c>
      <c r="G62" s="15" t="s">
        <v>683</v>
      </c>
      <c r="H62" s="15" t="s">
        <v>97</v>
      </c>
      <c r="I62" s="15" t="s">
        <v>98</v>
      </c>
      <c r="J62" s="17">
        <f>IFERROR(INDEX(Rates!$D$6:$D$15,MATCH(H62&amp;"|"&amp;I62,Rates!$C$6:$C$15,0)),0)</f>
        <v>100</v>
      </c>
      <c r="K62" s="18">
        <v>3</v>
      </c>
      <c r="L62" s="17">
        <f t="shared" si="1"/>
        <v>300</v>
      </c>
      <c r="M62" s="15" t="s">
        <v>684</v>
      </c>
    </row>
    <row r="63" spans="1:13">
      <c r="A63" s="7">
        <v>59</v>
      </c>
      <c r="B63" s="7"/>
      <c r="C63" s="7" t="s">
        <v>46</v>
      </c>
      <c r="D63" s="8" t="s">
        <v>685</v>
      </c>
      <c r="E63" s="7">
        <v>1</v>
      </c>
      <c r="F63" s="7" t="str">
        <f>IFERROR(INDEX(Categories!$B$5:$B$27,MATCH(E63,Categories!$A$5:$A$27,0)),"")</f>
        <v>Accessibility</v>
      </c>
      <c r="G63" s="7" t="s">
        <v>686</v>
      </c>
      <c r="H63" s="7" t="s">
        <v>97</v>
      </c>
      <c r="I63" s="7" t="s">
        <v>98</v>
      </c>
      <c r="J63" s="13">
        <f>IFERROR(INDEX(Rates!$D$6:$D$15,MATCH(H63&amp;"|"&amp;I63,Rates!$C$6:$C$15,0)),0)</f>
        <v>100</v>
      </c>
      <c r="K63" s="14">
        <v>4</v>
      </c>
      <c r="L63" s="13">
        <f t="shared" si="1"/>
        <v>400</v>
      </c>
      <c r="M63" s="7" t="s">
        <v>687</v>
      </c>
    </row>
    <row r="64" spans="1:13">
      <c r="A64" s="15">
        <v>60</v>
      </c>
      <c r="B64" s="15"/>
      <c r="C64" s="15" t="s">
        <v>70</v>
      </c>
      <c r="D64" s="16" t="s">
        <v>688</v>
      </c>
      <c r="E64" s="15">
        <v>13</v>
      </c>
      <c r="F64" s="15" t="str">
        <f>IFERROR(INDEX(Categories!$B$5:$B$27,MATCH(E64,Categories!$A$5:$A$27,0)),"")</f>
        <v>Environment Setup</v>
      </c>
      <c r="G64" s="15" t="s">
        <v>689</v>
      </c>
      <c r="H64" s="15" t="s">
        <v>97</v>
      </c>
      <c r="I64" s="15" t="s">
        <v>98</v>
      </c>
      <c r="J64" s="17">
        <f>IFERROR(INDEX(Rates!$D$6:$D$15,MATCH(H64&amp;"|"&amp;I64,Rates!$C$6:$C$15,0)),0)</f>
        <v>100</v>
      </c>
      <c r="K64" s="18">
        <v>2</v>
      </c>
      <c r="L64" s="17">
        <f t="shared" si="1"/>
        <v>200</v>
      </c>
      <c r="M64" s="15" t="s">
        <v>690</v>
      </c>
    </row>
    <row r="65" spans="1:13">
      <c r="A65" s="7">
        <v>61</v>
      </c>
      <c r="B65" s="7"/>
      <c r="C65" s="7" t="s">
        <v>70</v>
      </c>
      <c r="D65" s="8" t="s">
        <v>691</v>
      </c>
      <c r="E65" s="7">
        <v>13</v>
      </c>
      <c r="F65" s="7" t="str">
        <f>IFERROR(INDEX(Categories!$B$5:$B$27,MATCH(E65,Categories!$A$5:$A$27,0)),"")</f>
        <v>Environment Setup</v>
      </c>
      <c r="G65" s="7" t="s">
        <v>692</v>
      </c>
      <c r="H65" s="7" t="s">
        <v>97</v>
      </c>
      <c r="I65" s="7" t="s">
        <v>98</v>
      </c>
      <c r="J65" s="13">
        <f>IFERROR(INDEX(Rates!$D$6:$D$15,MATCH(H65&amp;"|"&amp;I65,Rates!$C$6:$C$15,0)),0)</f>
        <v>100</v>
      </c>
      <c r="K65" s="14">
        <v>3</v>
      </c>
      <c r="L65" s="13">
        <f t="shared" si="1"/>
        <v>300</v>
      </c>
      <c r="M65" s="7"/>
    </row>
    <row r="66" spans="1:13">
      <c r="A66" s="15">
        <v>62</v>
      </c>
      <c r="B66" s="15"/>
      <c r="C66" s="15" t="s">
        <v>70</v>
      </c>
      <c r="D66" s="16" t="s">
        <v>693</v>
      </c>
      <c r="E66" s="15">
        <v>13</v>
      </c>
      <c r="F66" s="15" t="str">
        <f>IFERROR(INDEX(Categories!$B$5:$B$27,MATCH(E66,Categories!$A$5:$A$27,0)),"")</f>
        <v>Environment Setup</v>
      </c>
      <c r="G66" s="15" t="s">
        <v>694</v>
      </c>
      <c r="H66" s="15" t="s">
        <v>97</v>
      </c>
      <c r="I66" s="15" t="s">
        <v>98</v>
      </c>
      <c r="J66" s="17">
        <f>IFERROR(INDEX(Rates!$D$6:$D$15,MATCH(H66&amp;"|"&amp;I66,Rates!$C$6:$C$15,0)),0)</f>
        <v>100</v>
      </c>
      <c r="K66" s="18">
        <v>2</v>
      </c>
      <c r="L66" s="17">
        <f t="shared" si="1"/>
        <v>200</v>
      </c>
      <c r="M66" s="15" t="s">
        <v>695</v>
      </c>
    </row>
    <row r="67" spans="1:13">
      <c r="A67" s="7">
        <v>63</v>
      </c>
      <c r="B67" s="7"/>
      <c r="C67" s="7" t="s">
        <v>60</v>
      </c>
      <c r="D67" s="8" t="s">
        <v>696</v>
      </c>
      <c r="E67" s="7">
        <v>6</v>
      </c>
      <c r="F67" s="7" t="str">
        <f>IFERROR(INDEX(Categories!$B$5:$B$27,MATCH(E67,Categories!$A$5:$A$27,0)),"")</f>
        <v>Data Migration</v>
      </c>
      <c r="G67" s="7" t="s">
        <v>697</v>
      </c>
      <c r="H67" s="7" t="s">
        <v>103</v>
      </c>
      <c r="I67" s="7" t="s">
        <v>98</v>
      </c>
      <c r="J67" s="13">
        <f>IFERROR(INDEX(Rates!$D$6:$D$15,MATCH(H67&amp;"|"&amp;I67,Rates!$C$6:$C$15,0)),0)</f>
        <v>0</v>
      </c>
      <c r="K67" s="14">
        <v>5</v>
      </c>
      <c r="L67" s="13">
        <f t="shared" si="1"/>
        <v>0</v>
      </c>
      <c r="M67" s="7" t="s">
        <v>698</v>
      </c>
    </row>
    <row r="68" spans="1:13">
      <c r="A68" s="15">
        <v>64</v>
      </c>
      <c r="B68" s="15"/>
      <c r="C68" s="15" t="s">
        <v>60</v>
      </c>
      <c r="D68" s="16" t="s">
        <v>496</v>
      </c>
      <c r="E68" s="15">
        <v>25</v>
      </c>
      <c r="F68" s="15" t="str">
        <f>IFERROR(INDEX(Categories!$B$5:$B$27,MATCH(E68,Categories!$A$5:$A$27,0)),"")</f>
        <v>QA &amp; Testing</v>
      </c>
      <c r="G68" s="15" t="s">
        <v>699</v>
      </c>
      <c r="H68" s="15" t="s">
        <v>102</v>
      </c>
      <c r="I68" s="15" t="s">
        <v>98</v>
      </c>
      <c r="J68" s="17">
        <f>IFERROR(INDEX(Rates!$D$6:$D$15,MATCH(H68&amp;"|"&amp;I68,Rates!$C$6:$C$15,0)),0)</f>
        <v>80</v>
      </c>
      <c r="K68" s="18">
        <v>3</v>
      </c>
      <c r="L68" s="17">
        <f t="shared" si="1"/>
        <v>240</v>
      </c>
      <c r="M68" s="15" t="s">
        <v>700</v>
      </c>
    </row>
    <row r="69" spans="1:13">
      <c r="A69" s="7">
        <v>65</v>
      </c>
      <c r="B69" s="7"/>
      <c r="C69" s="7" t="s">
        <v>60</v>
      </c>
      <c r="D69" s="8" t="s">
        <v>701</v>
      </c>
      <c r="E69" s="7">
        <v>8</v>
      </c>
      <c r="F69" s="7" t="str">
        <f>IFERROR(INDEX(Categories!$B$5:$B$27,MATCH(E69,Categories!$A$5:$A$27,0)),"")</f>
        <v>Deployment</v>
      </c>
      <c r="G69" s="7" t="s">
        <v>702</v>
      </c>
      <c r="H69" s="7" t="s">
        <v>97</v>
      </c>
      <c r="I69" s="7" t="s">
        <v>98</v>
      </c>
      <c r="J69" s="13">
        <f>IFERROR(INDEX(Rates!$D$6:$D$15,MATCH(H69&amp;"|"&amp;I69,Rates!$C$6:$C$15,0)),0)</f>
        <v>100</v>
      </c>
      <c r="K69" s="14">
        <v>2</v>
      </c>
      <c r="L69" s="13">
        <f t="shared" ref="L69:L100" si="2">K69*J69</f>
        <v>200</v>
      </c>
      <c r="M69" s="7" t="s">
        <v>703</v>
      </c>
    </row>
    <row r="70" spans="1:13">
      <c r="A70" s="15">
        <v>66</v>
      </c>
      <c r="B70" s="15"/>
      <c r="C70" s="15" t="s">
        <v>60</v>
      </c>
      <c r="D70" s="16" t="s">
        <v>541</v>
      </c>
      <c r="E70" s="15">
        <v>25</v>
      </c>
      <c r="F70" s="15" t="str">
        <f>IFERROR(INDEX(Categories!$B$5:$B$27,MATCH(E70,Categories!$A$5:$A$27,0)),"")</f>
        <v>QA &amp; Testing</v>
      </c>
      <c r="G70" s="15" t="s">
        <v>704</v>
      </c>
      <c r="H70" s="15" t="s">
        <v>102</v>
      </c>
      <c r="I70" s="15" t="s">
        <v>98</v>
      </c>
      <c r="J70" s="17">
        <f>IFERROR(INDEX(Rates!$D$6:$D$15,MATCH(H70&amp;"|"&amp;I70,Rates!$C$6:$C$15,0)),0)</f>
        <v>80</v>
      </c>
      <c r="K70" s="18">
        <v>3</v>
      </c>
      <c r="L70" s="17">
        <f t="shared" si="2"/>
        <v>240</v>
      </c>
      <c r="M70" s="15" t="s">
        <v>705</v>
      </c>
    </row>
    <row r="71" spans="1:13">
      <c r="A71" s="7">
        <v>67</v>
      </c>
      <c r="B71" s="7"/>
      <c r="C71" s="7" t="s">
        <v>60</v>
      </c>
      <c r="D71" s="8" t="s">
        <v>549</v>
      </c>
      <c r="E71" s="7">
        <v>4</v>
      </c>
      <c r="F71" s="7" t="str">
        <f>IFERROR(INDEX(Categories!$B$5:$B$27,MATCH(E71,Categories!$A$5:$A$27,0)),"")</f>
        <v>Conversion Tracking</v>
      </c>
      <c r="G71" s="7" t="s">
        <v>706</v>
      </c>
      <c r="H71" s="7" t="s">
        <v>102</v>
      </c>
      <c r="I71" s="7" t="s">
        <v>98</v>
      </c>
      <c r="J71" s="13">
        <f>IFERROR(INDEX(Rates!$D$6:$D$15,MATCH(H71&amp;"|"&amp;I71,Rates!$C$6:$C$15,0)),0)</f>
        <v>80</v>
      </c>
      <c r="K71" s="14">
        <v>2</v>
      </c>
      <c r="L71" s="13">
        <f t="shared" si="2"/>
        <v>160</v>
      </c>
      <c r="M71" s="7"/>
    </row>
    <row r="73" spans="1:13">
      <c r="D73" s="19" t="s">
        <v>552</v>
      </c>
      <c r="K73" s="20">
        <f>SUM(K5:K71)</f>
        <v>209</v>
      </c>
      <c r="L73" s="21">
        <f>SUM(L5:L71)</f>
        <v>20600</v>
      </c>
      <c r="M73" s="12" t="s">
        <v>553</v>
      </c>
    </row>
  </sheetData>
  <autoFilter ref="A4:M7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5"/>
  <sheetViews>
    <sheetView zoomScaleNormal="100" workbookViewId="0">
      <pane xSplit="4" ySplit="4" topLeftCell="E5" activePane="bottomRight" state="frozen"/>
      <selection pane="bottomRight"/>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707</v>
      </c>
    </row>
    <row r="2" spans="1:13">
      <c r="A2" s="2" t="s">
        <v>555</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2</v>
      </c>
      <c r="L5" s="13">
        <f t="shared" ref="L5:L36" si="0">K5*J5</f>
        <v>200</v>
      </c>
      <c r="M5" s="7"/>
    </row>
    <row r="6" spans="1:13" ht="25.5">
      <c r="A6" s="15">
        <v>2</v>
      </c>
      <c r="B6" s="15"/>
      <c r="C6" s="15" t="s">
        <v>111</v>
      </c>
      <c r="D6" s="16" t="s">
        <v>115</v>
      </c>
      <c r="E6" s="15">
        <v>14</v>
      </c>
      <c r="F6" s="15" t="str">
        <f>IFERROR(INDEX(Categories!$B$5:$B$27,MATCH(E6,Categories!$A$5:$A$27,0)),"")</f>
        <v>Frontend</v>
      </c>
      <c r="G6" s="15" t="s">
        <v>708</v>
      </c>
      <c r="H6" s="15" t="s">
        <v>97</v>
      </c>
      <c r="I6" s="15" t="s">
        <v>98</v>
      </c>
      <c r="J6" s="17">
        <f>IFERROR(INDEX(Rates!$D$6:$D$15,MATCH(H6&amp;"|"&amp;I6,Rates!$C$6:$C$15,0)),0)</f>
        <v>100</v>
      </c>
      <c r="K6" s="18">
        <v>3</v>
      </c>
      <c r="L6" s="17">
        <f t="shared" si="0"/>
        <v>300</v>
      </c>
      <c r="M6" s="15" t="s">
        <v>557</v>
      </c>
    </row>
    <row r="7" spans="1:13">
      <c r="A7" s="7">
        <v>3</v>
      </c>
      <c r="B7" s="7"/>
      <c r="C7" s="7" t="s">
        <v>111</v>
      </c>
      <c r="D7" s="8" t="s">
        <v>709</v>
      </c>
      <c r="E7" s="7">
        <v>15</v>
      </c>
      <c r="F7" s="7" t="str">
        <f>IFERROR(INDEX(Categories!$B$5:$B$27,MATCH(E7,Categories!$A$5:$A$27,0)),"")</f>
        <v>Integration</v>
      </c>
      <c r="G7" s="7" t="s">
        <v>710</v>
      </c>
      <c r="H7" s="7" t="s">
        <v>97</v>
      </c>
      <c r="I7" s="7" t="s">
        <v>98</v>
      </c>
      <c r="J7" s="13">
        <f>IFERROR(INDEX(Rates!$D$6:$D$15,MATCH(H7&amp;"|"&amp;I7,Rates!$C$6:$C$15,0)),0)</f>
        <v>100</v>
      </c>
      <c r="K7" s="14">
        <v>3</v>
      </c>
      <c r="L7" s="13">
        <f t="shared" si="0"/>
        <v>300</v>
      </c>
      <c r="M7" s="7" t="s">
        <v>711</v>
      </c>
    </row>
    <row r="8" spans="1:13">
      <c r="A8" s="15">
        <v>4</v>
      </c>
      <c r="B8" s="15"/>
      <c r="C8" s="15" t="s">
        <v>111</v>
      </c>
      <c r="D8" s="16" t="s">
        <v>124</v>
      </c>
      <c r="E8" s="15">
        <v>14</v>
      </c>
      <c r="F8" s="15" t="str">
        <f>IFERROR(INDEX(Categories!$B$5:$B$27,MATCH(E8,Categories!$A$5:$A$27,0)),"")</f>
        <v>Frontend</v>
      </c>
      <c r="G8" s="15" t="s">
        <v>712</v>
      </c>
      <c r="H8" s="15" t="s">
        <v>97</v>
      </c>
      <c r="I8" s="15" t="s">
        <v>98</v>
      </c>
      <c r="J8" s="17">
        <f>IFERROR(INDEX(Rates!$D$6:$D$15,MATCH(H8&amp;"|"&amp;I8,Rates!$C$6:$C$15,0)),0)</f>
        <v>100</v>
      </c>
      <c r="K8" s="18">
        <v>2</v>
      </c>
      <c r="L8" s="17">
        <f t="shared" si="0"/>
        <v>200</v>
      </c>
      <c r="M8" s="15" t="s">
        <v>561</v>
      </c>
    </row>
    <row r="9" spans="1:13">
      <c r="A9" s="7">
        <v>5</v>
      </c>
      <c r="B9" s="7"/>
      <c r="C9" s="7" t="s">
        <v>111</v>
      </c>
      <c r="D9" s="8" t="s">
        <v>127</v>
      </c>
      <c r="E9" s="7">
        <v>14</v>
      </c>
      <c r="F9" s="7" t="str">
        <f>IFERROR(INDEX(Categories!$B$5:$B$27,MATCH(E9,Categories!$A$5:$A$27,0)),"")</f>
        <v>Frontend</v>
      </c>
      <c r="G9" s="7" t="s">
        <v>713</v>
      </c>
      <c r="H9" s="7" t="s">
        <v>97</v>
      </c>
      <c r="I9" s="7" t="s">
        <v>98</v>
      </c>
      <c r="J9" s="13">
        <f>IFERROR(INDEX(Rates!$D$6:$D$15,MATCH(H9&amp;"|"&amp;I9,Rates!$C$6:$C$15,0)),0)</f>
        <v>100</v>
      </c>
      <c r="K9" s="14">
        <v>2</v>
      </c>
      <c r="L9" s="13">
        <f t="shared" si="0"/>
        <v>200</v>
      </c>
      <c r="M9" s="7" t="s">
        <v>129</v>
      </c>
    </row>
    <row r="10" spans="1:13">
      <c r="A10" s="15">
        <v>6</v>
      </c>
      <c r="B10" s="15"/>
      <c r="C10" s="15" t="s">
        <v>130</v>
      </c>
      <c r="D10" s="16" t="s">
        <v>131</v>
      </c>
      <c r="E10" s="15">
        <v>14</v>
      </c>
      <c r="F10" s="15" t="str">
        <f>IFERROR(INDEX(Categories!$B$5:$B$27,MATCH(E10,Categories!$A$5:$A$27,0)),"")</f>
        <v>Frontend</v>
      </c>
      <c r="G10" s="15" t="s">
        <v>714</v>
      </c>
      <c r="H10" s="15" t="s">
        <v>97</v>
      </c>
      <c r="I10" s="15" t="s">
        <v>98</v>
      </c>
      <c r="J10" s="17">
        <f>IFERROR(INDEX(Rates!$D$6:$D$15,MATCH(H10&amp;"|"&amp;I10,Rates!$C$6:$C$15,0)),0)</f>
        <v>100</v>
      </c>
      <c r="K10" s="18">
        <v>4</v>
      </c>
      <c r="L10" s="17">
        <f t="shared" si="0"/>
        <v>400</v>
      </c>
      <c r="M10" s="15"/>
    </row>
    <row r="11" spans="1:13">
      <c r="A11" s="7">
        <v>7</v>
      </c>
      <c r="B11" s="7"/>
      <c r="C11" s="7" t="s">
        <v>130</v>
      </c>
      <c r="D11" s="8" t="s">
        <v>134</v>
      </c>
      <c r="E11" s="7">
        <v>14</v>
      </c>
      <c r="F11" s="7" t="str">
        <f>IFERROR(INDEX(Categories!$B$5:$B$27,MATCH(E11,Categories!$A$5:$A$27,0)),"")</f>
        <v>Frontend</v>
      </c>
      <c r="G11" s="7" t="s">
        <v>715</v>
      </c>
      <c r="H11" s="7" t="s">
        <v>97</v>
      </c>
      <c r="I11" s="7" t="s">
        <v>98</v>
      </c>
      <c r="J11" s="13">
        <f>IFERROR(INDEX(Rates!$D$6:$D$15,MATCH(H11&amp;"|"&amp;I11,Rates!$C$6:$C$15,0)),0)</f>
        <v>100</v>
      </c>
      <c r="K11" s="14">
        <v>3</v>
      </c>
      <c r="L11" s="13">
        <f t="shared" si="0"/>
        <v>300</v>
      </c>
      <c r="M11" s="7" t="s">
        <v>136</v>
      </c>
    </row>
    <row r="12" spans="1:13" ht="25.5">
      <c r="A12" s="15">
        <v>8</v>
      </c>
      <c r="B12" s="15"/>
      <c r="C12" s="15" t="s">
        <v>130</v>
      </c>
      <c r="D12" s="16" t="s">
        <v>137</v>
      </c>
      <c r="E12" s="15">
        <v>14</v>
      </c>
      <c r="F12" s="15" t="str">
        <f>IFERROR(INDEX(Categories!$B$5:$B$27,MATCH(E12,Categories!$A$5:$A$27,0)),"")</f>
        <v>Frontend</v>
      </c>
      <c r="G12" s="15" t="s">
        <v>716</v>
      </c>
      <c r="H12" s="15" t="s">
        <v>97</v>
      </c>
      <c r="I12" s="15" t="s">
        <v>98</v>
      </c>
      <c r="J12" s="17">
        <f>IFERROR(INDEX(Rates!$D$6:$D$15,MATCH(H12&amp;"|"&amp;I12,Rates!$C$6:$C$15,0)),0)</f>
        <v>100</v>
      </c>
      <c r="K12" s="18">
        <v>2</v>
      </c>
      <c r="L12" s="17">
        <f t="shared" si="0"/>
        <v>200</v>
      </c>
      <c r="M12" s="15" t="s">
        <v>139</v>
      </c>
    </row>
    <row r="13" spans="1:13">
      <c r="A13" s="7">
        <v>9</v>
      </c>
      <c r="B13" s="7"/>
      <c r="C13" s="7" t="s">
        <v>130</v>
      </c>
      <c r="D13" s="8" t="s">
        <v>140</v>
      </c>
      <c r="E13" s="7">
        <v>14</v>
      </c>
      <c r="F13" s="7" t="str">
        <f>IFERROR(INDEX(Categories!$B$5:$B$27,MATCH(E13,Categories!$A$5:$A$27,0)),"")</f>
        <v>Frontend</v>
      </c>
      <c r="G13" s="7" t="s">
        <v>717</v>
      </c>
      <c r="H13" s="7" t="s">
        <v>97</v>
      </c>
      <c r="I13" s="7" t="s">
        <v>98</v>
      </c>
      <c r="J13" s="13">
        <f>IFERROR(INDEX(Rates!$D$6:$D$15,MATCH(H13&amp;"|"&amp;I13,Rates!$C$6:$C$15,0)),0)</f>
        <v>100</v>
      </c>
      <c r="K13" s="14">
        <v>2</v>
      </c>
      <c r="L13" s="13">
        <f t="shared" si="0"/>
        <v>200</v>
      </c>
      <c r="M13" s="7" t="s">
        <v>567</v>
      </c>
    </row>
    <row r="14" spans="1:13">
      <c r="A14" s="15">
        <v>10</v>
      </c>
      <c r="B14" s="15"/>
      <c r="C14" s="15" t="s">
        <v>130</v>
      </c>
      <c r="D14" s="16" t="s">
        <v>143</v>
      </c>
      <c r="E14" s="15">
        <v>14</v>
      </c>
      <c r="F14" s="15" t="str">
        <f>IFERROR(INDEX(Categories!$B$5:$B$27,MATCH(E14,Categories!$A$5:$A$27,0)),"")</f>
        <v>Frontend</v>
      </c>
      <c r="G14" s="15" t="s">
        <v>718</v>
      </c>
      <c r="H14" s="15" t="s">
        <v>97</v>
      </c>
      <c r="I14" s="15" t="s">
        <v>98</v>
      </c>
      <c r="J14" s="17">
        <f>IFERROR(INDEX(Rates!$D$6:$D$15,MATCH(H14&amp;"|"&amp;I14,Rates!$C$6:$C$15,0)),0)</f>
        <v>100</v>
      </c>
      <c r="K14" s="18">
        <v>4</v>
      </c>
      <c r="L14" s="17">
        <f t="shared" si="0"/>
        <v>400</v>
      </c>
      <c r="M14" s="15" t="s">
        <v>145</v>
      </c>
    </row>
    <row r="15" spans="1:13">
      <c r="A15" s="7">
        <v>11</v>
      </c>
      <c r="B15" s="7"/>
      <c r="C15" s="7" t="s">
        <v>225</v>
      </c>
      <c r="D15" s="8" t="s">
        <v>295</v>
      </c>
      <c r="E15" s="7">
        <v>12</v>
      </c>
      <c r="F15" s="7" t="str">
        <f>IFERROR(INDEX(Categories!$B$5:$B$27,MATCH(E15,Categories!$A$5:$A$27,0)),"")</f>
        <v>E-Commerce</v>
      </c>
      <c r="G15" s="7" t="s">
        <v>719</v>
      </c>
      <c r="H15" s="7" t="s">
        <v>97</v>
      </c>
      <c r="I15" s="7" t="s">
        <v>98</v>
      </c>
      <c r="J15" s="13">
        <f>IFERROR(INDEX(Rates!$D$6:$D$15,MATCH(H15&amp;"|"&amp;I15,Rates!$C$6:$C$15,0)),0)</f>
        <v>100</v>
      </c>
      <c r="K15" s="14">
        <v>4</v>
      </c>
      <c r="L15" s="13">
        <f t="shared" si="0"/>
        <v>400</v>
      </c>
      <c r="M15" s="7"/>
    </row>
    <row r="16" spans="1:13" ht="25.5">
      <c r="A16" s="15">
        <v>12</v>
      </c>
      <c r="B16" s="15"/>
      <c r="C16" s="15" t="s">
        <v>225</v>
      </c>
      <c r="D16" s="16" t="s">
        <v>297</v>
      </c>
      <c r="E16" s="15">
        <v>12</v>
      </c>
      <c r="F16" s="15" t="str">
        <f>IFERROR(INDEX(Categories!$B$5:$B$27,MATCH(E16,Categories!$A$5:$A$27,0)),"")</f>
        <v>E-Commerce</v>
      </c>
      <c r="G16" s="15" t="s">
        <v>298</v>
      </c>
      <c r="H16" s="15" t="s">
        <v>100</v>
      </c>
      <c r="I16" s="15" t="s">
        <v>98</v>
      </c>
      <c r="J16" s="17">
        <f>IFERROR(INDEX(Rates!$D$6:$D$15,MATCH(H16&amp;"|"&amp;I16,Rates!$C$6:$C$15,0)),0)</f>
        <v>100</v>
      </c>
      <c r="K16" s="18">
        <v>3</v>
      </c>
      <c r="L16" s="17">
        <f t="shared" si="0"/>
        <v>300</v>
      </c>
      <c r="M16" s="15" t="s">
        <v>645</v>
      </c>
    </row>
    <row r="17" spans="1:13" ht="25.5">
      <c r="A17" s="7">
        <v>13</v>
      </c>
      <c r="B17" s="7"/>
      <c r="C17" s="7" t="s">
        <v>225</v>
      </c>
      <c r="D17" s="8" t="s">
        <v>300</v>
      </c>
      <c r="E17" s="7">
        <v>12</v>
      </c>
      <c r="F17" s="7" t="str">
        <f>IFERROR(INDEX(Categories!$B$5:$B$27,MATCH(E17,Categories!$A$5:$A$27,0)),"")</f>
        <v>E-Commerce</v>
      </c>
      <c r="G17" s="7" t="s">
        <v>720</v>
      </c>
      <c r="H17" s="7" t="s">
        <v>97</v>
      </c>
      <c r="I17" s="7" t="s">
        <v>98</v>
      </c>
      <c r="J17" s="13">
        <f>IFERROR(INDEX(Rates!$D$6:$D$15,MATCH(H17&amp;"|"&amp;I17,Rates!$C$6:$C$15,0)),0)</f>
        <v>100</v>
      </c>
      <c r="K17" s="14">
        <v>6</v>
      </c>
      <c r="L17" s="13">
        <f t="shared" si="0"/>
        <v>600</v>
      </c>
      <c r="M17" s="7" t="s">
        <v>302</v>
      </c>
    </row>
    <row r="18" spans="1:13">
      <c r="A18" s="15">
        <v>14</v>
      </c>
      <c r="B18" s="15"/>
      <c r="C18" s="15" t="s">
        <v>225</v>
      </c>
      <c r="D18" s="16" t="s">
        <v>303</v>
      </c>
      <c r="E18" s="15">
        <v>12</v>
      </c>
      <c r="F18" s="15" t="str">
        <f>IFERROR(INDEX(Categories!$B$5:$B$27,MATCH(E18,Categories!$A$5:$A$27,0)),"")</f>
        <v>E-Commerce</v>
      </c>
      <c r="G18" s="15" t="s">
        <v>721</v>
      </c>
      <c r="H18" s="15" t="s">
        <v>97</v>
      </c>
      <c r="I18" s="15" t="s">
        <v>98</v>
      </c>
      <c r="J18" s="17">
        <f>IFERROR(INDEX(Rates!$D$6:$D$15,MATCH(H18&amp;"|"&amp;I18,Rates!$C$6:$C$15,0)),0)</f>
        <v>100</v>
      </c>
      <c r="K18" s="18">
        <v>4</v>
      </c>
      <c r="L18" s="17">
        <f t="shared" si="0"/>
        <v>400</v>
      </c>
      <c r="M18" s="15"/>
    </row>
    <row r="19" spans="1:13">
      <c r="A19" s="7">
        <v>15</v>
      </c>
      <c r="B19" s="7"/>
      <c r="C19" s="7" t="s">
        <v>225</v>
      </c>
      <c r="D19" s="8" t="s">
        <v>305</v>
      </c>
      <c r="E19" s="7">
        <v>12</v>
      </c>
      <c r="F19" s="7" t="str">
        <f>IFERROR(INDEX(Categories!$B$5:$B$27,MATCH(E19,Categories!$A$5:$A$27,0)),"")</f>
        <v>E-Commerce</v>
      </c>
      <c r="G19" s="7" t="s">
        <v>722</v>
      </c>
      <c r="H19" s="7" t="s">
        <v>97</v>
      </c>
      <c r="I19" s="7" t="s">
        <v>98</v>
      </c>
      <c r="J19" s="13">
        <f>IFERROR(INDEX(Rates!$D$6:$D$15,MATCH(H19&amp;"|"&amp;I19,Rates!$C$6:$C$15,0)),0)</f>
        <v>100</v>
      </c>
      <c r="K19" s="14">
        <v>5</v>
      </c>
      <c r="L19" s="13">
        <f t="shared" si="0"/>
        <v>500</v>
      </c>
      <c r="M19" s="7" t="s">
        <v>723</v>
      </c>
    </row>
    <row r="20" spans="1:13">
      <c r="A20" s="15">
        <v>16</v>
      </c>
      <c r="B20" s="15"/>
      <c r="C20" s="15" t="s">
        <v>225</v>
      </c>
      <c r="D20" s="16" t="s">
        <v>308</v>
      </c>
      <c r="E20" s="15">
        <v>12</v>
      </c>
      <c r="F20" s="15" t="str">
        <f>IFERROR(INDEX(Categories!$B$5:$B$27,MATCH(E20,Categories!$A$5:$A$27,0)),"")</f>
        <v>E-Commerce</v>
      </c>
      <c r="G20" s="15" t="s">
        <v>724</v>
      </c>
      <c r="H20" s="15" t="s">
        <v>97</v>
      </c>
      <c r="I20" s="15" t="s">
        <v>99</v>
      </c>
      <c r="J20" s="17">
        <f>IFERROR(INDEX(Rates!$D$6:$D$15,MATCH(H20&amp;"|"&amp;I20,Rates!$C$6:$C$15,0)),0)</f>
        <v>120</v>
      </c>
      <c r="K20" s="18">
        <v>6</v>
      </c>
      <c r="L20" s="17">
        <f t="shared" si="0"/>
        <v>720</v>
      </c>
      <c r="M20" s="15" t="s">
        <v>725</v>
      </c>
    </row>
    <row r="21" spans="1:13" ht="25.5">
      <c r="A21" s="7">
        <v>17</v>
      </c>
      <c r="B21" s="7"/>
      <c r="C21" s="7" t="s">
        <v>206</v>
      </c>
      <c r="D21" s="8" t="s">
        <v>207</v>
      </c>
      <c r="E21" s="7">
        <v>14</v>
      </c>
      <c r="F21" s="7" t="str">
        <f>IFERROR(INDEX(Categories!$B$5:$B$27,MATCH(E21,Categories!$A$5:$A$27,0)),"")</f>
        <v>Frontend</v>
      </c>
      <c r="G21" s="7" t="s">
        <v>726</v>
      </c>
      <c r="H21" s="7" t="s">
        <v>100</v>
      </c>
      <c r="I21" s="7" t="s">
        <v>98</v>
      </c>
      <c r="J21" s="13">
        <f>IFERROR(INDEX(Rates!$D$6:$D$15,MATCH(H21&amp;"|"&amp;I21,Rates!$C$6:$C$15,0)),0)</f>
        <v>100</v>
      </c>
      <c r="K21" s="14">
        <v>5</v>
      </c>
      <c r="L21" s="13">
        <f t="shared" si="0"/>
        <v>500</v>
      </c>
      <c r="M21" s="7" t="s">
        <v>209</v>
      </c>
    </row>
    <row r="22" spans="1:13">
      <c r="A22" s="15">
        <v>18</v>
      </c>
      <c r="B22" s="15"/>
      <c r="C22" s="15" t="s">
        <v>206</v>
      </c>
      <c r="D22" s="16" t="s">
        <v>210</v>
      </c>
      <c r="E22" s="15">
        <v>14</v>
      </c>
      <c r="F22" s="15" t="str">
        <f>IFERROR(INDEX(Categories!$B$5:$B$27,MATCH(E22,Categories!$A$5:$A$27,0)),"")</f>
        <v>Frontend</v>
      </c>
      <c r="G22" s="15" t="s">
        <v>727</v>
      </c>
      <c r="H22" s="15" t="s">
        <v>97</v>
      </c>
      <c r="I22" s="15" t="s">
        <v>99</v>
      </c>
      <c r="J22" s="17">
        <f>IFERROR(INDEX(Rates!$D$6:$D$15,MATCH(H22&amp;"|"&amp;I22,Rates!$C$6:$C$15,0)),0)</f>
        <v>120</v>
      </c>
      <c r="K22" s="18">
        <v>3</v>
      </c>
      <c r="L22" s="17">
        <f t="shared" si="0"/>
        <v>360</v>
      </c>
      <c r="M22" s="15" t="s">
        <v>728</v>
      </c>
    </row>
    <row r="23" spans="1:13" ht="25.5">
      <c r="A23" s="7">
        <v>19</v>
      </c>
      <c r="B23" s="7"/>
      <c r="C23" s="7" t="s">
        <v>206</v>
      </c>
      <c r="D23" s="8" t="s">
        <v>213</v>
      </c>
      <c r="E23" s="7">
        <v>14</v>
      </c>
      <c r="F23" s="7" t="str">
        <f>IFERROR(INDEX(Categories!$B$5:$B$27,MATCH(E23,Categories!$A$5:$A$27,0)),"")</f>
        <v>Frontend</v>
      </c>
      <c r="G23" s="7" t="s">
        <v>729</v>
      </c>
      <c r="H23" s="7" t="s">
        <v>97</v>
      </c>
      <c r="I23" s="7" t="s">
        <v>98</v>
      </c>
      <c r="J23" s="13">
        <f>IFERROR(INDEX(Rates!$D$6:$D$15,MATCH(H23&amp;"|"&amp;I23,Rates!$C$6:$C$15,0)),0)</f>
        <v>100</v>
      </c>
      <c r="K23" s="14">
        <v>3</v>
      </c>
      <c r="L23" s="13">
        <f t="shared" si="0"/>
        <v>300</v>
      </c>
      <c r="M23" s="7" t="s">
        <v>215</v>
      </c>
    </row>
    <row r="24" spans="1:13">
      <c r="A24" s="15">
        <v>20</v>
      </c>
      <c r="B24" s="15"/>
      <c r="C24" s="15" t="s">
        <v>206</v>
      </c>
      <c r="D24" s="16" t="s">
        <v>584</v>
      </c>
      <c r="E24" s="15">
        <v>14</v>
      </c>
      <c r="F24" s="15" t="str">
        <f>IFERROR(INDEX(Categories!$B$5:$B$27,MATCH(E24,Categories!$A$5:$A$27,0)),"")</f>
        <v>Frontend</v>
      </c>
      <c r="G24" s="15" t="s">
        <v>730</v>
      </c>
      <c r="H24" s="15" t="s">
        <v>97</v>
      </c>
      <c r="I24" s="15" t="s">
        <v>98</v>
      </c>
      <c r="J24" s="17">
        <f>IFERROR(INDEX(Rates!$D$6:$D$15,MATCH(H24&amp;"|"&amp;I24,Rates!$C$6:$C$15,0)),0)</f>
        <v>100</v>
      </c>
      <c r="K24" s="18">
        <v>5</v>
      </c>
      <c r="L24" s="17">
        <f t="shared" si="0"/>
        <v>500</v>
      </c>
      <c r="M24" s="15" t="s">
        <v>731</v>
      </c>
    </row>
    <row r="25" spans="1:13">
      <c r="A25" s="7">
        <v>21</v>
      </c>
      <c r="B25" s="7"/>
      <c r="C25" s="7" t="s">
        <v>130</v>
      </c>
      <c r="D25" s="8" t="s">
        <v>222</v>
      </c>
      <c r="E25" s="7">
        <v>14</v>
      </c>
      <c r="F25" s="7" t="str">
        <f>IFERROR(INDEX(Categories!$B$5:$B$27,MATCH(E25,Categories!$A$5:$A$27,0)),"")</f>
        <v>Frontend</v>
      </c>
      <c r="G25" s="7" t="s">
        <v>732</v>
      </c>
      <c r="H25" s="7" t="s">
        <v>97</v>
      </c>
      <c r="I25" s="7" t="s">
        <v>98</v>
      </c>
      <c r="J25" s="13">
        <f>IFERROR(INDEX(Rates!$D$6:$D$15,MATCH(H25&amp;"|"&amp;I25,Rates!$C$6:$C$15,0)),0)</f>
        <v>100</v>
      </c>
      <c r="K25" s="14">
        <v>2</v>
      </c>
      <c r="L25" s="13">
        <f t="shared" si="0"/>
        <v>200</v>
      </c>
      <c r="M25" s="7" t="s">
        <v>590</v>
      </c>
    </row>
    <row r="26" spans="1:13" ht="25.5">
      <c r="A26" s="15">
        <v>22</v>
      </c>
      <c r="B26" s="15"/>
      <c r="C26" s="15" t="s">
        <v>130</v>
      </c>
      <c r="D26" s="16" t="s">
        <v>577</v>
      </c>
      <c r="E26" s="15">
        <v>18</v>
      </c>
      <c r="F26" s="15" t="str">
        <f>IFERROR(INDEX(Categories!$B$5:$B$27,MATCH(E26,Categories!$A$5:$A$27,0)),"")</f>
        <v>Performance &amp; Security</v>
      </c>
      <c r="G26" s="15" t="s">
        <v>733</v>
      </c>
      <c r="H26" s="15" t="s">
        <v>97</v>
      </c>
      <c r="I26" s="15" t="s">
        <v>98</v>
      </c>
      <c r="J26" s="17">
        <f>IFERROR(INDEX(Rates!$D$6:$D$15,MATCH(H26&amp;"|"&amp;I26,Rates!$C$6:$C$15,0)),0)</f>
        <v>100</v>
      </c>
      <c r="K26" s="18">
        <v>1</v>
      </c>
      <c r="L26" s="17">
        <f t="shared" si="0"/>
        <v>100</v>
      </c>
      <c r="M26" s="15" t="s">
        <v>734</v>
      </c>
    </row>
    <row r="27" spans="1:13" ht="25.5">
      <c r="A27" s="7">
        <v>23</v>
      </c>
      <c r="B27" s="7"/>
      <c r="C27" s="7" t="s">
        <v>174</v>
      </c>
      <c r="D27" s="8" t="s">
        <v>175</v>
      </c>
      <c r="E27" s="7">
        <v>14</v>
      </c>
      <c r="F27" s="7" t="str">
        <f>IFERROR(INDEX(Categories!$B$5:$B$27,MATCH(E27,Categories!$A$5:$A$27,0)),"")</f>
        <v>Frontend</v>
      </c>
      <c r="G27" s="7" t="s">
        <v>735</v>
      </c>
      <c r="H27" s="7" t="s">
        <v>97</v>
      </c>
      <c r="I27" s="7" t="s">
        <v>98</v>
      </c>
      <c r="J27" s="13">
        <f>IFERROR(INDEX(Rates!$D$6:$D$15,MATCH(H27&amp;"|"&amp;I27,Rates!$C$6:$C$15,0)),0)</f>
        <v>100</v>
      </c>
      <c r="K27" s="14">
        <v>6</v>
      </c>
      <c r="L27" s="13">
        <f t="shared" si="0"/>
        <v>600</v>
      </c>
      <c r="M27" s="7" t="s">
        <v>601</v>
      </c>
    </row>
    <row r="28" spans="1:13" ht="25.5">
      <c r="A28" s="15">
        <v>24</v>
      </c>
      <c r="B28" s="15"/>
      <c r="C28" s="15" t="s">
        <v>178</v>
      </c>
      <c r="D28" s="16" t="s">
        <v>736</v>
      </c>
      <c r="E28" s="15">
        <v>14</v>
      </c>
      <c r="F28" s="15" t="str">
        <f>IFERROR(INDEX(Categories!$B$5:$B$27,MATCH(E28,Categories!$A$5:$A$27,0)),"")</f>
        <v>Frontend</v>
      </c>
      <c r="G28" s="15" t="s">
        <v>737</v>
      </c>
      <c r="H28" s="15" t="s">
        <v>97</v>
      </c>
      <c r="I28" s="15" t="s">
        <v>98</v>
      </c>
      <c r="J28" s="17">
        <f>IFERROR(INDEX(Rates!$D$6:$D$15,MATCH(H28&amp;"|"&amp;I28,Rates!$C$6:$C$15,0)),0)</f>
        <v>100</v>
      </c>
      <c r="K28" s="18">
        <v>8</v>
      </c>
      <c r="L28" s="17">
        <f t="shared" si="0"/>
        <v>800</v>
      </c>
      <c r="M28" s="15" t="s">
        <v>604</v>
      </c>
    </row>
    <row r="29" spans="1:13" ht="25.5">
      <c r="A29" s="7">
        <v>25</v>
      </c>
      <c r="B29" s="7"/>
      <c r="C29" s="7" t="s">
        <v>182</v>
      </c>
      <c r="D29" s="8" t="s">
        <v>605</v>
      </c>
      <c r="E29" s="7">
        <v>14</v>
      </c>
      <c r="F29" s="7" t="str">
        <f>IFERROR(INDEX(Categories!$B$5:$B$27,MATCH(E29,Categories!$A$5:$A$27,0)),"")</f>
        <v>Frontend</v>
      </c>
      <c r="G29" s="7" t="s">
        <v>738</v>
      </c>
      <c r="H29" s="7" t="s">
        <v>97</v>
      </c>
      <c r="I29" s="7" t="s">
        <v>98</v>
      </c>
      <c r="J29" s="13">
        <f>IFERROR(INDEX(Rates!$D$6:$D$15,MATCH(H29&amp;"|"&amp;I29,Rates!$C$6:$C$15,0)),0)</f>
        <v>100</v>
      </c>
      <c r="K29" s="14">
        <v>5</v>
      </c>
      <c r="L29" s="13">
        <f t="shared" si="0"/>
        <v>500</v>
      </c>
      <c r="M29" s="7" t="s">
        <v>607</v>
      </c>
    </row>
    <row r="30" spans="1:13">
      <c r="A30" s="15">
        <v>26</v>
      </c>
      <c r="B30" s="15"/>
      <c r="C30" s="15" t="s">
        <v>739</v>
      </c>
      <c r="D30" s="16" t="s">
        <v>660</v>
      </c>
      <c r="E30" s="15">
        <v>22</v>
      </c>
      <c r="F30" s="15" t="str">
        <f>IFERROR(INDEX(Categories!$B$5:$B$27,MATCH(E30,Categories!$A$5:$A$27,0)),"")</f>
        <v>SEO &amp; Content</v>
      </c>
      <c r="G30" s="15" t="s">
        <v>740</v>
      </c>
      <c r="H30" s="15" t="s">
        <v>97</v>
      </c>
      <c r="I30" s="15" t="s">
        <v>98</v>
      </c>
      <c r="J30" s="17">
        <f>IFERROR(INDEX(Rates!$D$6:$D$15,MATCH(H30&amp;"|"&amp;I30,Rates!$C$6:$C$15,0)),0)</f>
        <v>100</v>
      </c>
      <c r="K30" s="18">
        <v>4</v>
      </c>
      <c r="L30" s="17">
        <f t="shared" si="0"/>
        <v>400</v>
      </c>
      <c r="M30" s="15" t="s">
        <v>435</v>
      </c>
    </row>
    <row r="31" spans="1:13">
      <c r="A31" s="7">
        <v>27</v>
      </c>
      <c r="B31" s="7"/>
      <c r="C31" s="7" t="s">
        <v>232</v>
      </c>
      <c r="D31" s="8" t="s">
        <v>741</v>
      </c>
      <c r="E31" s="7">
        <v>14</v>
      </c>
      <c r="F31" s="7" t="str">
        <f>IFERROR(INDEX(Categories!$B$5:$B$27,MATCH(E31,Categories!$A$5:$A$27,0)),"")</f>
        <v>Frontend</v>
      </c>
      <c r="G31" s="7" t="s">
        <v>742</v>
      </c>
      <c r="H31" s="7" t="s">
        <v>97</v>
      </c>
      <c r="I31" s="7" t="s">
        <v>98</v>
      </c>
      <c r="J31" s="13">
        <f>IFERROR(INDEX(Rates!$D$6:$D$15,MATCH(H31&amp;"|"&amp;I31,Rates!$C$6:$C$15,0)),0)</f>
        <v>100</v>
      </c>
      <c r="K31" s="14">
        <v>3</v>
      </c>
      <c r="L31" s="13">
        <f t="shared" si="0"/>
        <v>300</v>
      </c>
      <c r="M31" s="7" t="s">
        <v>235</v>
      </c>
    </row>
    <row r="32" spans="1:13" ht="25.5">
      <c r="A32" s="15">
        <v>28</v>
      </c>
      <c r="B32" s="15"/>
      <c r="C32" s="15" t="s">
        <v>236</v>
      </c>
      <c r="D32" s="16" t="s">
        <v>743</v>
      </c>
      <c r="E32" s="15">
        <v>14</v>
      </c>
      <c r="F32" s="15" t="str">
        <f>IFERROR(INDEX(Categories!$B$5:$B$27,MATCH(E32,Categories!$A$5:$A$27,0)),"")</f>
        <v>Frontend</v>
      </c>
      <c r="G32" s="15" t="s">
        <v>744</v>
      </c>
      <c r="H32" s="15" t="s">
        <v>97</v>
      </c>
      <c r="I32" s="15" t="s">
        <v>98</v>
      </c>
      <c r="J32" s="17">
        <f>IFERROR(INDEX(Rates!$D$6:$D$15,MATCH(H32&amp;"|"&amp;I32,Rates!$C$6:$C$15,0)),0)</f>
        <v>100</v>
      </c>
      <c r="K32" s="18">
        <v>6</v>
      </c>
      <c r="L32" s="17">
        <f t="shared" si="0"/>
        <v>600</v>
      </c>
      <c r="M32" s="15" t="s">
        <v>745</v>
      </c>
    </row>
    <row r="33" spans="1:13">
      <c r="A33" s="7">
        <v>29</v>
      </c>
      <c r="B33" s="7"/>
      <c r="C33" s="7" t="s">
        <v>257</v>
      </c>
      <c r="D33" s="8" t="s">
        <v>258</v>
      </c>
      <c r="E33" s="7">
        <v>15</v>
      </c>
      <c r="F33" s="7" t="str">
        <f>IFERROR(INDEX(Categories!$B$5:$B$27,MATCH(E33,Categories!$A$5:$A$27,0)),"")</f>
        <v>Integration</v>
      </c>
      <c r="G33" s="7" t="s">
        <v>746</v>
      </c>
      <c r="H33" s="7" t="s">
        <v>97</v>
      </c>
      <c r="I33" s="7" t="s">
        <v>98</v>
      </c>
      <c r="J33" s="13">
        <f>IFERROR(INDEX(Rates!$D$6:$D$15,MATCH(H33&amp;"|"&amp;I33,Rates!$C$6:$C$15,0)),0)</f>
        <v>100</v>
      </c>
      <c r="K33" s="14">
        <v>3</v>
      </c>
      <c r="L33" s="13">
        <f t="shared" si="0"/>
        <v>300</v>
      </c>
      <c r="M33" s="7" t="s">
        <v>747</v>
      </c>
    </row>
    <row r="34" spans="1:13">
      <c r="A34" s="15">
        <v>30</v>
      </c>
      <c r="B34" s="15"/>
      <c r="C34" s="15" t="s">
        <v>257</v>
      </c>
      <c r="D34" s="16" t="s">
        <v>261</v>
      </c>
      <c r="E34" s="15">
        <v>15</v>
      </c>
      <c r="F34" s="15" t="str">
        <f>IFERROR(INDEX(Categories!$B$5:$B$27,MATCH(E34,Categories!$A$5:$A$27,0)),"")</f>
        <v>Integration</v>
      </c>
      <c r="G34" s="15" t="s">
        <v>748</v>
      </c>
      <c r="H34" s="15" t="s">
        <v>97</v>
      </c>
      <c r="I34" s="15" t="s">
        <v>98</v>
      </c>
      <c r="J34" s="17">
        <f>IFERROR(INDEX(Rates!$D$6:$D$15,MATCH(H34&amp;"|"&amp;I34,Rates!$C$6:$C$15,0)),0)</f>
        <v>100</v>
      </c>
      <c r="K34" s="18">
        <v>2</v>
      </c>
      <c r="L34" s="17">
        <f t="shared" si="0"/>
        <v>200</v>
      </c>
      <c r="M34" s="15" t="s">
        <v>749</v>
      </c>
    </row>
    <row r="35" spans="1:13">
      <c r="A35" s="7">
        <v>31</v>
      </c>
      <c r="B35" s="7"/>
      <c r="C35" s="7" t="s">
        <v>257</v>
      </c>
      <c r="D35" s="8" t="s">
        <v>264</v>
      </c>
      <c r="E35" s="7">
        <v>15</v>
      </c>
      <c r="F35" s="7" t="str">
        <f>IFERROR(INDEX(Categories!$B$5:$B$27,MATCH(E35,Categories!$A$5:$A$27,0)),"")</f>
        <v>Integration</v>
      </c>
      <c r="G35" s="7" t="s">
        <v>750</v>
      </c>
      <c r="H35" s="7" t="s">
        <v>97</v>
      </c>
      <c r="I35" s="7" t="s">
        <v>99</v>
      </c>
      <c r="J35" s="13">
        <f>IFERROR(INDEX(Rates!$D$6:$D$15,MATCH(H35&amp;"|"&amp;I35,Rates!$C$6:$C$15,0)),0)</f>
        <v>120</v>
      </c>
      <c r="K35" s="14">
        <v>10</v>
      </c>
      <c r="L35" s="13">
        <f t="shared" si="0"/>
        <v>1200</v>
      </c>
      <c r="M35" s="7" t="s">
        <v>266</v>
      </c>
    </row>
    <row r="36" spans="1:13" ht="25.5">
      <c r="A36" s="15">
        <v>32</v>
      </c>
      <c r="B36" s="15"/>
      <c r="C36" s="15" t="s">
        <v>257</v>
      </c>
      <c r="D36" s="16" t="s">
        <v>267</v>
      </c>
      <c r="E36" s="15">
        <v>15</v>
      </c>
      <c r="F36" s="15" t="str">
        <f>IFERROR(INDEX(Categories!$B$5:$B$27,MATCH(E36,Categories!$A$5:$A$27,0)),"")</f>
        <v>Integration</v>
      </c>
      <c r="G36" s="15" t="s">
        <v>751</v>
      </c>
      <c r="H36" s="15" t="s">
        <v>97</v>
      </c>
      <c r="I36" s="15" t="s">
        <v>99</v>
      </c>
      <c r="J36" s="17">
        <f>IFERROR(INDEX(Rates!$D$6:$D$15,MATCH(H36&amp;"|"&amp;I36,Rates!$C$6:$C$15,0)),0)</f>
        <v>120</v>
      </c>
      <c r="K36" s="18">
        <v>20</v>
      </c>
      <c r="L36" s="17">
        <f t="shared" si="0"/>
        <v>2400</v>
      </c>
      <c r="M36" s="15" t="s">
        <v>752</v>
      </c>
    </row>
    <row r="37" spans="1:13" ht="25.5">
      <c r="A37" s="7">
        <v>33</v>
      </c>
      <c r="B37" s="7"/>
      <c r="C37" s="7" t="s">
        <v>257</v>
      </c>
      <c r="D37" s="8" t="s">
        <v>270</v>
      </c>
      <c r="E37" s="7">
        <v>15</v>
      </c>
      <c r="F37" s="7" t="str">
        <f>IFERROR(INDEX(Categories!$B$5:$B$27,MATCH(E37,Categories!$A$5:$A$27,0)),"")</f>
        <v>Integration</v>
      </c>
      <c r="G37" s="7" t="s">
        <v>753</v>
      </c>
      <c r="H37" s="7" t="s">
        <v>97</v>
      </c>
      <c r="I37" s="7" t="s">
        <v>98</v>
      </c>
      <c r="J37" s="13">
        <f>IFERROR(INDEX(Rates!$D$6:$D$15,MATCH(H37&amp;"|"&amp;I37,Rates!$C$6:$C$15,0)),0)</f>
        <v>100</v>
      </c>
      <c r="K37" s="14">
        <v>5</v>
      </c>
      <c r="L37" s="13">
        <f t="shared" ref="L37:L68" si="1">K37*J37</f>
        <v>500</v>
      </c>
      <c r="M37" s="7" t="s">
        <v>597</v>
      </c>
    </row>
    <row r="38" spans="1:13">
      <c r="A38" s="15">
        <v>34</v>
      </c>
      <c r="B38" s="15"/>
      <c r="C38" s="15" t="s">
        <v>257</v>
      </c>
      <c r="D38" s="16" t="s">
        <v>754</v>
      </c>
      <c r="E38" s="15">
        <v>1</v>
      </c>
      <c r="F38" s="15" t="str">
        <f>IFERROR(INDEX(Categories!$B$5:$B$27,MATCH(E38,Categories!$A$5:$A$27,0)),"")</f>
        <v>Accessibility</v>
      </c>
      <c r="G38" s="15" t="s">
        <v>755</v>
      </c>
      <c r="H38" s="15" t="s">
        <v>97</v>
      </c>
      <c r="I38" s="15" t="s">
        <v>98</v>
      </c>
      <c r="J38" s="17">
        <f>IFERROR(INDEX(Rates!$D$6:$D$15,MATCH(H38&amp;"|"&amp;I38,Rates!$C$6:$C$15,0)),0)</f>
        <v>100</v>
      </c>
      <c r="K38" s="18">
        <v>5</v>
      </c>
      <c r="L38" s="17">
        <f t="shared" si="1"/>
        <v>500</v>
      </c>
      <c r="M38" s="15" t="s">
        <v>687</v>
      </c>
    </row>
    <row r="39" spans="1:13">
      <c r="A39" s="7">
        <v>35</v>
      </c>
      <c r="B39" s="7"/>
      <c r="C39" s="7" t="s">
        <v>756</v>
      </c>
      <c r="D39" s="8" t="s">
        <v>757</v>
      </c>
      <c r="E39" s="7">
        <v>2</v>
      </c>
      <c r="F39" s="7" t="str">
        <f>IFERROR(INDEX(Categories!$B$5:$B$27,MATCH(E39,Categories!$A$5:$A$27,0)),"")</f>
        <v>Backend</v>
      </c>
      <c r="G39" s="7" t="s">
        <v>758</v>
      </c>
      <c r="H39" s="7" t="s">
        <v>97</v>
      </c>
      <c r="I39" s="7" t="s">
        <v>98</v>
      </c>
      <c r="J39" s="13">
        <f>IFERROR(INDEX(Rates!$D$6:$D$15,MATCH(H39&amp;"|"&amp;I39,Rates!$C$6:$C$15,0)),0)</f>
        <v>100</v>
      </c>
      <c r="K39" s="14">
        <v>4</v>
      </c>
      <c r="L39" s="13">
        <f t="shared" si="1"/>
        <v>400</v>
      </c>
      <c r="M39" s="7"/>
    </row>
    <row r="40" spans="1:13">
      <c r="A40" s="15">
        <v>36</v>
      </c>
      <c r="B40" s="15"/>
      <c r="C40" s="15" t="s">
        <v>756</v>
      </c>
      <c r="D40" s="16" t="s">
        <v>283</v>
      </c>
      <c r="E40" s="15">
        <v>2</v>
      </c>
      <c r="F40" s="15" t="str">
        <f>IFERROR(INDEX(Categories!$B$5:$B$27,MATCH(E40,Categories!$A$5:$A$27,0)),"")</f>
        <v>Backend</v>
      </c>
      <c r="G40" s="15" t="s">
        <v>759</v>
      </c>
      <c r="H40" s="15" t="s">
        <v>97</v>
      </c>
      <c r="I40" s="15" t="s">
        <v>98</v>
      </c>
      <c r="J40" s="17">
        <f>IFERROR(INDEX(Rates!$D$6:$D$15,MATCH(H40&amp;"|"&amp;I40,Rates!$C$6:$C$15,0)),0)</f>
        <v>100</v>
      </c>
      <c r="K40" s="18">
        <v>4</v>
      </c>
      <c r="L40" s="17">
        <f t="shared" si="1"/>
        <v>400</v>
      </c>
      <c r="M40" s="15" t="s">
        <v>285</v>
      </c>
    </row>
    <row r="41" spans="1:13">
      <c r="A41" s="7">
        <v>37</v>
      </c>
      <c r="B41" s="7"/>
      <c r="C41" s="7" t="s">
        <v>756</v>
      </c>
      <c r="D41" s="8" t="s">
        <v>760</v>
      </c>
      <c r="E41" s="7">
        <v>2</v>
      </c>
      <c r="F41" s="7" t="str">
        <f>IFERROR(INDEX(Categories!$B$5:$B$27,MATCH(E41,Categories!$A$5:$A$27,0)),"")</f>
        <v>Backend</v>
      </c>
      <c r="G41" s="7" t="s">
        <v>761</v>
      </c>
      <c r="H41" s="7" t="s">
        <v>97</v>
      </c>
      <c r="I41" s="7" t="s">
        <v>98</v>
      </c>
      <c r="J41" s="13">
        <f>IFERROR(INDEX(Rates!$D$6:$D$15,MATCH(H41&amp;"|"&amp;I41,Rates!$C$6:$C$15,0)),0)</f>
        <v>100</v>
      </c>
      <c r="K41" s="14">
        <v>6</v>
      </c>
      <c r="L41" s="13">
        <f t="shared" si="1"/>
        <v>600</v>
      </c>
      <c r="M41" s="7" t="s">
        <v>762</v>
      </c>
    </row>
    <row r="42" spans="1:13" ht="25.5">
      <c r="A42" s="15">
        <v>38</v>
      </c>
      <c r="B42" s="15"/>
      <c r="C42" s="15" t="s">
        <v>763</v>
      </c>
      <c r="D42" s="16" t="s">
        <v>292</v>
      </c>
      <c r="E42" s="15">
        <v>12</v>
      </c>
      <c r="F42" s="15" t="str">
        <f>IFERROR(INDEX(Categories!$B$5:$B$27,MATCH(E42,Categories!$A$5:$A$27,0)),"")</f>
        <v>E-Commerce</v>
      </c>
      <c r="G42" s="15" t="s">
        <v>293</v>
      </c>
      <c r="H42" s="15" t="s">
        <v>97</v>
      </c>
      <c r="I42" s="15" t="s">
        <v>98</v>
      </c>
      <c r="J42" s="17">
        <f>IFERROR(INDEX(Rates!$D$6:$D$15,MATCH(H42&amp;"|"&amp;I42,Rates!$C$6:$C$15,0)),0)</f>
        <v>100</v>
      </c>
      <c r="K42" s="18">
        <v>6</v>
      </c>
      <c r="L42" s="17">
        <f t="shared" si="1"/>
        <v>600</v>
      </c>
      <c r="M42" s="15" t="s">
        <v>764</v>
      </c>
    </row>
    <row r="43" spans="1:13">
      <c r="A43" s="7">
        <v>39</v>
      </c>
      <c r="B43" s="7"/>
      <c r="C43" s="7" t="s">
        <v>763</v>
      </c>
      <c r="D43" s="8" t="s">
        <v>311</v>
      </c>
      <c r="E43" s="7">
        <v>12</v>
      </c>
      <c r="F43" s="7" t="str">
        <f>IFERROR(INDEX(Categories!$B$5:$B$27,MATCH(E43,Categories!$A$5:$A$27,0)),"")</f>
        <v>E-Commerce</v>
      </c>
      <c r="G43" s="7" t="s">
        <v>628</v>
      </c>
      <c r="H43" s="7" t="s">
        <v>97</v>
      </c>
      <c r="I43" s="7" t="s">
        <v>98</v>
      </c>
      <c r="J43" s="13">
        <f>IFERROR(INDEX(Rates!$D$6:$D$15,MATCH(H43&amp;"|"&amp;I43,Rates!$C$6:$C$15,0)),0)</f>
        <v>100</v>
      </c>
      <c r="K43" s="14">
        <v>4</v>
      </c>
      <c r="L43" s="13">
        <f t="shared" si="1"/>
        <v>400</v>
      </c>
      <c r="M43" s="7" t="s">
        <v>629</v>
      </c>
    </row>
    <row r="44" spans="1:13" ht="25.5">
      <c r="A44" s="15">
        <v>40</v>
      </c>
      <c r="B44" s="15"/>
      <c r="C44" s="15" t="s">
        <v>763</v>
      </c>
      <c r="D44" s="16" t="s">
        <v>314</v>
      </c>
      <c r="E44" s="15">
        <v>12</v>
      </c>
      <c r="F44" s="15" t="str">
        <f>IFERROR(INDEX(Categories!$B$5:$B$27,MATCH(E44,Categories!$A$5:$A$27,0)),"")</f>
        <v>E-Commerce</v>
      </c>
      <c r="G44" s="15" t="s">
        <v>765</v>
      </c>
      <c r="H44" s="15" t="s">
        <v>97</v>
      </c>
      <c r="I44" s="15" t="s">
        <v>98</v>
      </c>
      <c r="J44" s="17">
        <f>IFERROR(INDEX(Rates!$D$6:$D$15,MATCH(H44&amp;"|"&amp;I44,Rates!$C$6:$C$15,0)),0)</f>
        <v>100</v>
      </c>
      <c r="K44" s="18">
        <v>4</v>
      </c>
      <c r="L44" s="17">
        <f t="shared" si="1"/>
        <v>400</v>
      </c>
      <c r="M44" s="15" t="s">
        <v>766</v>
      </c>
    </row>
    <row r="45" spans="1:13">
      <c r="A45" s="7">
        <v>41</v>
      </c>
      <c r="B45" s="7"/>
      <c r="C45" s="7" t="s">
        <v>763</v>
      </c>
      <c r="D45" s="8" t="s">
        <v>317</v>
      </c>
      <c r="E45" s="7">
        <v>12</v>
      </c>
      <c r="F45" s="7" t="str">
        <f>IFERROR(INDEX(Categories!$B$5:$B$27,MATCH(E45,Categories!$A$5:$A$27,0)),"")</f>
        <v>E-Commerce</v>
      </c>
      <c r="G45" s="7" t="s">
        <v>318</v>
      </c>
      <c r="H45" s="7" t="s">
        <v>97</v>
      </c>
      <c r="I45" s="7" t="s">
        <v>98</v>
      </c>
      <c r="J45" s="13">
        <f>IFERROR(INDEX(Rates!$D$6:$D$15,MATCH(H45&amp;"|"&amp;I45,Rates!$C$6:$C$15,0)),0)</f>
        <v>100</v>
      </c>
      <c r="K45" s="14">
        <v>4</v>
      </c>
      <c r="L45" s="13">
        <f t="shared" si="1"/>
        <v>400</v>
      </c>
      <c r="M45" s="7" t="s">
        <v>637</v>
      </c>
    </row>
    <row r="46" spans="1:13">
      <c r="A46" s="15">
        <v>42</v>
      </c>
      <c r="B46" s="15"/>
      <c r="C46" s="15" t="s">
        <v>763</v>
      </c>
      <c r="D46" s="16" t="s">
        <v>320</v>
      </c>
      <c r="E46" s="15">
        <v>12</v>
      </c>
      <c r="F46" s="15" t="str">
        <f>IFERROR(INDEX(Categories!$B$5:$B$27,MATCH(E46,Categories!$A$5:$A$27,0)),"")</f>
        <v>E-Commerce</v>
      </c>
      <c r="G46" s="15" t="s">
        <v>767</v>
      </c>
      <c r="H46" s="15" t="s">
        <v>97</v>
      </c>
      <c r="I46" s="15" t="s">
        <v>98</v>
      </c>
      <c r="J46" s="17">
        <f>IFERROR(INDEX(Rates!$D$6:$D$15,MATCH(H46&amp;"|"&amp;I46,Rates!$C$6:$C$15,0)),0)</f>
        <v>100</v>
      </c>
      <c r="K46" s="18">
        <v>3</v>
      </c>
      <c r="L46" s="17">
        <f t="shared" si="1"/>
        <v>300</v>
      </c>
      <c r="M46" s="15" t="s">
        <v>634</v>
      </c>
    </row>
    <row r="47" spans="1:13">
      <c r="A47" s="7">
        <v>43</v>
      </c>
      <c r="B47" s="7"/>
      <c r="C47" s="7" t="s">
        <v>763</v>
      </c>
      <c r="D47" s="8" t="s">
        <v>323</v>
      </c>
      <c r="E47" s="7">
        <v>12</v>
      </c>
      <c r="F47" s="7" t="str">
        <f>IFERROR(INDEX(Categories!$B$5:$B$27,MATCH(E47,Categories!$A$5:$A$27,0)),"")</f>
        <v>E-Commerce</v>
      </c>
      <c r="G47" s="7" t="s">
        <v>768</v>
      </c>
      <c r="H47" s="7" t="s">
        <v>97</v>
      </c>
      <c r="I47" s="7" t="s">
        <v>98</v>
      </c>
      <c r="J47" s="13">
        <f>IFERROR(INDEX(Rates!$D$6:$D$15,MATCH(H47&amp;"|"&amp;I47,Rates!$C$6:$C$15,0)),0)</f>
        <v>100</v>
      </c>
      <c r="K47" s="14">
        <v>2</v>
      </c>
      <c r="L47" s="13">
        <f t="shared" si="1"/>
        <v>200</v>
      </c>
      <c r="M47" s="7" t="s">
        <v>769</v>
      </c>
    </row>
    <row r="48" spans="1:13" ht="25.5">
      <c r="A48" s="15">
        <v>44</v>
      </c>
      <c r="B48" s="15"/>
      <c r="C48" s="15" t="s">
        <v>770</v>
      </c>
      <c r="D48" s="16" t="s">
        <v>771</v>
      </c>
      <c r="E48" s="15">
        <v>12</v>
      </c>
      <c r="F48" s="15" t="str">
        <f>IFERROR(INDEX(Categories!$B$5:$B$27,MATCH(E48,Categories!$A$5:$A$27,0)),"")</f>
        <v>E-Commerce</v>
      </c>
      <c r="G48" s="15" t="s">
        <v>772</v>
      </c>
      <c r="H48" s="15" t="s">
        <v>97</v>
      </c>
      <c r="I48" s="15" t="s">
        <v>98</v>
      </c>
      <c r="J48" s="17">
        <f>IFERROR(INDEX(Rates!$D$6:$D$15,MATCH(H48&amp;"|"&amp;I48,Rates!$C$6:$C$15,0)),0)</f>
        <v>100</v>
      </c>
      <c r="K48" s="18">
        <v>6</v>
      </c>
      <c r="L48" s="17">
        <f t="shared" si="1"/>
        <v>600</v>
      </c>
      <c r="M48" s="15" t="s">
        <v>773</v>
      </c>
    </row>
    <row r="49" spans="1:13" ht="25.5">
      <c r="A49" s="7">
        <v>45</v>
      </c>
      <c r="B49" s="7"/>
      <c r="C49" s="7" t="s">
        <v>770</v>
      </c>
      <c r="D49" s="8" t="s">
        <v>774</v>
      </c>
      <c r="E49" s="7">
        <v>5</v>
      </c>
      <c r="F49" s="7" t="str">
        <f>IFERROR(INDEX(Categories!$B$5:$B$27,MATCH(E49,Categories!$A$5:$A$27,0)),"")</f>
        <v>Custom Tools</v>
      </c>
      <c r="G49" s="7" t="s">
        <v>775</v>
      </c>
      <c r="H49" s="7" t="s">
        <v>97</v>
      </c>
      <c r="I49" s="7" t="s">
        <v>99</v>
      </c>
      <c r="J49" s="13">
        <f>IFERROR(INDEX(Rates!$D$6:$D$15,MATCH(H49&amp;"|"&amp;I49,Rates!$C$6:$C$15,0)),0)</f>
        <v>120</v>
      </c>
      <c r="K49" s="14">
        <v>12</v>
      </c>
      <c r="L49" s="13">
        <f t="shared" si="1"/>
        <v>1440</v>
      </c>
      <c r="M49" s="7" t="s">
        <v>776</v>
      </c>
    </row>
    <row r="50" spans="1:13">
      <c r="A50" s="15">
        <v>46</v>
      </c>
      <c r="B50" s="15"/>
      <c r="C50" s="15" t="s">
        <v>770</v>
      </c>
      <c r="D50" s="16" t="s">
        <v>777</v>
      </c>
      <c r="E50" s="15">
        <v>5</v>
      </c>
      <c r="F50" s="15" t="str">
        <f>IFERROR(INDEX(Categories!$B$5:$B$27,MATCH(E50,Categories!$A$5:$A$27,0)),"")</f>
        <v>Custom Tools</v>
      </c>
      <c r="G50" s="15" t="s">
        <v>778</v>
      </c>
      <c r="H50" s="15" t="s">
        <v>97</v>
      </c>
      <c r="I50" s="15" t="s">
        <v>99</v>
      </c>
      <c r="J50" s="17">
        <f>IFERROR(INDEX(Rates!$D$6:$D$15,MATCH(H50&amp;"|"&amp;I50,Rates!$C$6:$C$15,0)),0)</f>
        <v>120</v>
      </c>
      <c r="K50" s="18">
        <v>25</v>
      </c>
      <c r="L50" s="17">
        <f t="shared" si="1"/>
        <v>3000</v>
      </c>
      <c r="M50" s="15" t="s">
        <v>779</v>
      </c>
    </row>
    <row r="51" spans="1:13">
      <c r="A51" s="7">
        <v>47</v>
      </c>
      <c r="B51" s="7"/>
      <c r="C51" s="7" t="s">
        <v>770</v>
      </c>
      <c r="D51" s="8" t="s">
        <v>780</v>
      </c>
      <c r="E51" s="7">
        <v>12</v>
      </c>
      <c r="F51" s="7" t="str">
        <f>IFERROR(INDEX(Categories!$B$5:$B$27,MATCH(E51,Categories!$A$5:$A$27,0)),"")</f>
        <v>E-Commerce</v>
      </c>
      <c r="G51" s="7" t="s">
        <v>781</v>
      </c>
      <c r="H51" s="7" t="s">
        <v>97</v>
      </c>
      <c r="I51" s="7" t="s">
        <v>98</v>
      </c>
      <c r="J51" s="13">
        <f>IFERROR(INDEX(Rates!$D$6:$D$15,MATCH(H51&amp;"|"&amp;I51,Rates!$C$6:$C$15,0)),0)</f>
        <v>100</v>
      </c>
      <c r="K51" s="14">
        <v>6</v>
      </c>
      <c r="L51" s="13">
        <f t="shared" si="1"/>
        <v>600</v>
      </c>
      <c r="M51" s="7" t="s">
        <v>782</v>
      </c>
    </row>
    <row r="52" spans="1:13">
      <c r="A52" s="15">
        <v>48</v>
      </c>
      <c r="B52" s="15"/>
      <c r="C52" s="15" t="s">
        <v>770</v>
      </c>
      <c r="D52" s="16" t="s">
        <v>783</v>
      </c>
      <c r="E52" s="15">
        <v>12</v>
      </c>
      <c r="F52" s="15" t="str">
        <f>IFERROR(INDEX(Categories!$B$5:$B$27,MATCH(E52,Categories!$A$5:$A$27,0)),"")</f>
        <v>E-Commerce</v>
      </c>
      <c r="G52" s="15" t="s">
        <v>784</v>
      </c>
      <c r="H52" s="15" t="s">
        <v>97</v>
      </c>
      <c r="I52" s="15" t="s">
        <v>98</v>
      </c>
      <c r="J52" s="17">
        <f>IFERROR(INDEX(Rates!$D$6:$D$15,MATCH(H52&amp;"|"&amp;I52,Rates!$C$6:$C$15,0)),0)</f>
        <v>100</v>
      </c>
      <c r="K52" s="18">
        <v>4</v>
      </c>
      <c r="L52" s="17">
        <f t="shared" si="1"/>
        <v>400</v>
      </c>
      <c r="M52" s="15" t="s">
        <v>785</v>
      </c>
    </row>
    <row r="53" spans="1:13" ht="25.5">
      <c r="A53" s="7">
        <v>49</v>
      </c>
      <c r="B53" s="7"/>
      <c r="C53" s="7" t="s">
        <v>681</v>
      </c>
      <c r="D53" s="8" t="s">
        <v>682</v>
      </c>
      <c r="E53" s="7">
        <v>18</v>
      </c>
      <c r="F53" s="7" t="str">
        <f>IFERROR(INDEX(Categories!$B$5:$B$27,MATCH(E53,Categories!$A$5:$A$27,0)),"")</f>
        <v>Performance &amp; Security</v>
      </c>
      <c r="G53" s="7" t="s">
        <v>786</v>
      </c>
      <c r="H53" s="7" t="s">
        <v>97</v>
      </c>
      <c r="I53" s="7" t="s">
        <v>98</v>
      </c>
      <c r="J53" s="13">
        <f>IFERROR(INDEX(Rates!$D$6:$D$15,MATCH(H53&amp;"|"&amp;I53,Rates!$C$6:$C$15,0)),0)</f>
        <v>100</v>
      </c>
      <c r="K53" s="14">
        <v>4</v>
      </c>
      <c r="L53" s="13">
        <f t="shared" si="1"/>
        <v>400</v>
      </c>
      <c r="M53" s="7" t="s">
        <v>787</v>
      </c>
    </row>
    <row r="54" spans="1:13" ht="25.5">
      <c r="A54" s="15">
        <v>50</v>
      </c>
      <c r="B54" s="15"/>
      <c r="C54" s="15" t="s">
        <v>788</v>
      </c>
      <c r="D54" s="16" t="s">
        <v>420</v>
      </c>
      <c r="E54" s="15">
        <v>4</v>
      </c>
      <c r="F54" s="15" t="str">
        <f>IFERROR(INDEX(Categories!$B$5:$B$27,MATCH(E54,Categories!$A$5:$A$27,0)),"")</f>
        <v>Conversion Tracking</v>
      </c>
      <c r="G54" s="15" t="s">
        <v>789</v>
      </c>
      <c r="H54" s="15" t="s">
        <v>97</v>
      </c>
      <c r="I54" s="15" t="s">
        <v>98</v>
      </c>
      <c r="J54" s="17">
        <f>IFERROR(INDEX(Rates!$D$6:$D$15,MATCH(H54&amp;"|"&amp;I54,Rates!$C$6:$C$15,0)),0)</f>
        <v>100</v>
      </c>
      <c r="K54" s="18">
        <v>2</v>
      </c>
      <c r="L54" s="17">
        <f t="shared" si="1"/>
        <v>200</v>
      </c>
      <c r="M54" s="15" t="s">
        <v>422</v>
      </c>
    </row>
    <row r="55" spans="1:13">
      <c r="A55" s="7">
        <v>51</v>
      </c>
      <c r="B55" s="7"/>
      <c r="C55" s="7" t="s">
        <v>788</v>
      </c>
      <c r="D55" s="8" t="s">
        <v>423</v>
      </c>
      <c r="E55" s="7">
        <v>4</v>
      </c>
      <c r="F55" s="7" t="str">
        <f>IFERROR(INDEX(Categories!$B$5:$B$27,MATCH(E55,Categories!$A$5:$A$27,0)),"")</f>
        <v>Conversion Tracking</v>
      </c>
      <c r="G55" s="7" t="s">
        <v>790</v>
      </c>
      <c r="H55" s="7" t="s">
        <v>97</v>
      </c>
      <c r="I55" s="7" t="s">
        <v>98</v>
      </c>
      <c r="J55" s="13">
        <f>IFERROR(INDEX(Rates!$D$6:$D$15,MATCH(H55&amp;"|"&amp;I55,Rates!$C$6:$C$15,0)),0)</f>
        <v>100</v>
      </c>
      <c r="K55" s="14">
        <v>3</v>
      </c>
      <c r="L55" s="13">
        <f t="shared" si="1"/>
        <v>300</v>
      </c>
      <c r="M55" s="7" t="s">
        <v>425</v>
      </c>
    </row>
    <row r="56" spans="1:13">
      <c r="A56" s="15">
        <v>52</v>
      </c>
      <c r="B56" s="15"/>
      <c r="C56" s="15" t="s">
        <v>788</v>
      </c>
      <c r="D56" s="16" t="s">
        <v>52</v>
      </c>
      <c r="E56" s="15">
        <v>4</v>
      </c>
      <c r="F56" s="15" t="str">
        <f>IFERROR(INDEX(Categories!$B$5:$B$27,MATCH(E56,Categories!$A$5:$A$27,0)),"")</f>
        <v>Conversion Tracking</v>
      </c>
      <c r="G56" s="15" t="s">
        <v>791</v>
      </c>
      <c r="H56" s="15" t="s">
        <v>97</v>
      </c>
      <c r="I56" s="15" t="s">
        <v>98</v>
      </c>
      <c r="J56" s="17">
        <f>IFERROR(INDEX(Rates!$D$6:$D$15,MATCH(H56&amp;"|"&amp;I56,Rates!$C$6:$C$15,0)),0)</f>
        <v>100</v>
      </c>
      <c r="K56" s="18">
        <v>5</v>
      </c>
      <c r="L56" s="17">
        <f t="shared" si="1"/>
        <v>500</v>
      </c>
      <c r="M56" s="15" t="s">
        <v>792</v>
      </c>
    </row>
    <row r="57" spans="1:13">
      <c r="A57" s="7">
        <v>53</v>
      </c>
      <c r="B57" s="7"/>
      <c r="C57" s="7" t="s">
        <v>793</v>
      </c>
      <c r="D57" s="8" t="s">
        <v>429</v>
      </c>
      <c r="E57" s="7">
        <v>22</v>
      </c>
      <c r="F57" s="7" t="str">
        <f>IFERROR(INDEX(Categories!$B$5:$B$27,MATCH(E57,Categories!$A$5:$A$27,0)),"")</f>
        <v>SEO &amp; Content</v>
      </c>
      <c r="G57" s="7" t="s">
        <v>794</v>
      </c>
      <c r="H57" s="7" t="s">
        <v>97</v>
      </c>
      <c r="I57" s="7" t="s">
        <v>98</v>
      </c>
      <c r="J57" s="13">
        <f>IFERROR(INDEX(Rates!$D$6:$D$15,MATCH(H57&amp;"|"&amp;I57,Rates!$C$6:$C$15,0)),0)</f>
        <v>100</v>
      </c>
      <c r="K57" s="14">
        <v>2</v>
      </c>
      <c r="L57" s="13">
        <f t="shared" si="1"/>
        <v>200</v>
      </c>
      <c r="M57" s="7" t="s">
        <v>432</v>
      </c>
    </row>
    <row r="58" spans="1:13">
      <c r="A58" s="15">
        <v>54</v>
      </c>
      <c r="B58" s="15"/>
      <c r="C58" s="15" t="s">
        <v>793</v>
      </c>
      <c r="D58" s="16" t="s">
        <v>795</v>
      </c>
      <c r="E58" s="15">
        <v>22</v>
      </c>
      <c r="F58" s="15" t="str">
        <f>IFERROR(INDEX(Categories!$B$5:$B$27,MATCH(E58,Categories!$A$5:$A$27,0)),"")</f>
        <v>SEO &amp; Content</v>
      </c>
      <c r="G58" s="15" t="s">
        <v>796</v>
      </c>
      <c r="H58" s="15" t="s">
        <v>97</v>
      </c>
      <c r="I58" s="15" t="s">
        <v>98</v>
      </c>
      <c r="J58" s="17">
        <f>IFERROR(INDEX(Rates!$D$6:$D$15,MATCH(H58&amp;"|"&amp;I58,Rates!$C$6:$C$15,0)),0)</f>
        <v>100</v>
      </c>
      <c r="K58" s="18">
        <v>1</v>
      </c>
      <c r="L58" s="17">
        <f t="shared" si="1"/>
        <v>100</v>
      </c>
      <c r="M58" s="15"/>
    </row>
    <row r="59" spans="1:13" ht="25.5">
      <c r="A59" s="7">
        <v>55</v>
      </c>
      <c r="B59" s="7"/>
      <c r="C59" s="7" t="s">
        <v>793</v>
      </c>
      <c r="D59" s="8" t="s">
        <v>436</v>
      </c>
      <c r="E59" s="7">
        <v>22</v>
      </c>
      <c r="F59" s="7" t="str">
        <f>IFERROR(INDEX(Categories!$B$5:$B$27,MATCH(E59,Categories!$A$5:$A$27,0)),"")</f>
        <v>SEO &amp; Content</v>
      </c>
      <c r="G59" s="7" t="s">
        <v>797</v>
      </c>
      <c r="H59" s="7" t="s">
        <v>97</v>
      </c>
      <c r="I59" s="7" t="s">
        <v>98</v>
      </c>
      <c r="J59" s="13">
        <f>IFERROR(INDEX(Rates!$D$6:$D$15,MATCH(H59&amp;"|"&amp;I59,Rates!$C$6:$C$15,0)),0)</f>
        <v>100</v>
      </c>
      <c r="K59" s="14">
        <v>2</v>
      </c>
      <c r="L59" s="13">
        <f t="shared" si="1"/>
        <v>200</v>
      </c>
      <c r="M59" s="7" t="s">
        <v>438</v>
      </c>
    </row>
    <row r="60" spans="1:13" ht="25.5">
      <c r="A60" s="15">
        <v>56</v>
      </c>
      <c r="B60" s="15"/>
      <c r="C60" s="15" t="s">
        <v>798</v>
      </c>
      <c r="D60" s="16" t="s">
        <v>799</v>
      </c>
      <c r="E60" s="15">
        <v>22</v>
      </c>
      <c r="F60" s="15" t="str">
        <f>IFERROR(INDEX(Categories!$B$5:$B$27,MATCH(E60,Categories!$A$5:$A$27,0)),"")</f>
        <v>SEO &amp; Content</v>
      </c>
      <c r="G60" s="15" t="s">
        <v>800</v>
      </c>
      <c r="H60" s="15" t="s">
        <v>97</v>
      </c>
      <c r="I60" s="15" t="s">
        <v>98</v>
      </c>
      <c r="J60" s="17">
        <f>IFERROR(INDEX(Rates!$D$6:$D$15,MATCH(H60&amp;"|"&amp;I60,Rates!$C$6:$C$15,0)),0)</f>
        <v>100</v>
      </c>
      <c r="K60" s="18">
        <v>2</v>
      </c>
      <c r="L60" s="17">
        <f t="shared" si="1"/>
        <v>200</v>
      </c>
      <c r="M60" s="15" t="s">
        <v>441</v>
      </c>
    </row>
    <row r="61" spans="1:13">
      <c r="A61" s="7">
        <v>57</v>
      </c>
      <c r="B61" s="7"/>
      <c r="C61" s="7" t="s">
        <v>798</v>
      </c>
      <c r="D61" s="8" t="s">
        <v>801</v>
      </c>
      <c r="E61" s="7">
        <v>24</v>
      </c>
      <c r="F61" s="7" t="str">
        <f>IFERROR(INDEX(Categories!$B$5:$B$27,MATCH(E61,Categories!$A$5:$A$27,0)),"")</f>
        <v>SEO on-page</v>
      </c>
      <c r="G61" s="7" t="s">
        <v>802</v>
      </c>
      <c r="H61" s="7" t="s">
        <v>97</v>
      </c>
      <c r="I61" s="7" t="s">
        <v>98</v>
      </c>
      <c r="J61" s="13">
        <f>IFERROR(INDEX(Rates!$D$6:$D$15,MATCH(H61&amp;"|"&amp;I61,Rates!$C$6:$C$15,0)),0)</f>
        <v>100</v>
      </c>
      <c r="K61" s="14">
        <v>2</v>
      </c>
      <c r="L61" s="13">
        <f t="shared" si="1"/>
        <v>200</v>
      </c>
      <c r="M61" s="7" t="s">
        <v>803</v>
      </c>
    </row>
    <row r="62" spans="1:13" ht="25.5">
      <c r="A62" s="15">
        <v>58</v>
      </c>
      <c r="B62" s="15"/>
      <c r="C62" s="15" t="s">
        <v>798</v>
      </c>
      <c r="D62" s="16" t="s">
        <v>667</v>
      </c>
      <c r="E62" s="15">
        <v>24</v>
      </c>
      <c r="F62" s="15" t="str">
        <f>IFERROR(INDEX(Categories!$B$5:$B$27,MATCH(E62,Categories!$A$5:$A$27,0)),"")</f>
        <v>SEO on-page</v>
      </c>
      <c r="G62" s="15" t="s">
        <v>804</v>
      </c>
      <c r="H62" s="15" t="s">
        <v>97</v>
      </c>
      <c r="I62" s="15" t="s">
        <v>98</v>
      </c>
      <c r="J62" s="17">
        <f>IFERROR(INDEX(Rates!$D$6:$D$15,MATCH(H62&amp;"|"&amp;I62,Rates!$C$6:$C$15,0)),0)</f>
        <v>100</v>
      </c>
      <c r="K62" s="18">
        <v>0</v>
      </c>
      <c r="L62" s="17">
        <f t="shared" si="1"/>
        <v>0</v>
      </c>
      <c r="M62" s="15" t="s">
        <v>669</v>
      </c>
    </row>
    <row r="63" spans="1:13">
      <c r="A63" s="7">
        <v>59</v>
      </c>
      <c r="B63" s="7"/>
      <c r="C63" s="7" t="s">
        <v>798</v>
      </c>
      <c r="D63" s="8" t="s">
        <v>673</v>
      </c>
      <c r="E63" s="7">
        <v>24</v>
      </c>
      <c r="F63" s="7" t="str">
        <f>IFERROR(INDEX(Categories!$B$5:$B$27,MATCH(E63,Categories!$A$5:$A$27,0)),"")</f>
        <v>SEO on-page</v>
      </c>
      <c r="G63" s="7" t="s">
        <v>805</v>
      </c>
      <c r="H63" s="7" t="s">
        <v>97</v>
      </c>
      <c r="I63" s="7" t="s">
        <v>98</v>
      </c>
      <c r="J63" s="13">
        <f>IFERROR(INDEX(Rates!$D$6:$D$15,MATCH(H63&amp;"|"&amp;I63,Rates!$C$6:$C$15,0)),0)</f>
        <v>100</v>
      </c>
      <c r="K63" s="14">
        <v>2</v>
      </c>
      <c r="L63" s="13">
        <f t="shared" si="1"/>
        <v>200</v>
      </c>
      <c r="M63" s="7" t="s">
        <v>675</v>
      </c>
    </row>
    <row r="64" spans="1:13">
      <c r="A64" s="15">
        <v>60</v>
      </c>
      <c r="B64" s="15"/>
      <c r="C64" s="15" t="s">
        <v>798</v>
      </c>
      <c r="D64" s="16" t="s">
        <v>806</v>
      </c>
      <c r="E64" s="15">
        <v>22</v>
      </c>
      <c r="F64" s="15" t="str">
        <f>IFERROR(INDEX(Categories!$B$5:$B$27,MATCH(E64,Categories!$A$5:$A$27,0)),"")</f>
        <v>SEO &amp; Content</v>
      </c>
      <c r="G64" s="15" t="s">
        <v>807</v>
      </c>
      <c r="H64" s="15" t="s">
        <v>100</v>
      </c>
      <c r="I64" s="15" t="s">
        <v>98</v>
      </c>
      <c r="J64" s="17">
        <f>IFERROR(INDEX(Rates!$D$6:$D$15,MATCH(H64&amp;"|"&amp;I64,Rates!$C$6:$C$15,0)),0)</f>
        <v>100</v>
      </c>
      <c r="K64" s="18">
        <v>3</v>
      </c>
      <c r="L64" s="17">
        <f t="shared" si="1"/>
        <v>300</v>
      </c>
      <c r="M64" s="15" t="s">
        <v>451</v>
      </c>
    </row>
    <row r="65" spans="1:13">
      <c r="A65" s="7">
        <v>61</v>
      </c>
      <c r="B65" s="7"/>
      <c r="C65" s="7" t="s">
        <v>70</v>
      </c>
      <c r="D65" s="8" t="s">
        <v>808</v>
      </c>
      <c r="E65" s="7">
        <v>13</v>
      </c>
      <c r="F65" s="7" t="str">
        <f>IFERROR(INDEX(Categories!$B$5:$B$27,MATCH(E65,Categories!$A$5:$A$27,0)),"")</f>
        <v>Environment Setup</v>
      </c>
      <c r="G65" s="7" t="s">
        <v>809</v>
      </c>
      <c r="H65" s="7" t="s">
        <v>97</v>
      </c>
      <c r="I65" s="7" t="s">
        <v>98</v>
      </c>
      <c r="J65" s="13">
        <f>IFERROR(INDEX(Rates!$D$6:$D$15,MATCH(H65&amp;"|"&amp;I65,Rates!$C$6:$C$15,0)),0)</f>
        <v>100</v>
      </c>
      <c r="K65" s="14">
        <v>2</v>
      </c>
      <c r="L65" s="13">
        <f t="shared" si="1"/>
        <v>200</v>
      </c>
      <c r="M65" s="7" t="s">
        <v>810</v>
      </c>
    </row>
    <row r="66" spans="1:13">
      <c r="A66" s="15">
        <v>62</v>
      </c>
      <c r="B66" s="15"/>
      <c r="C66" s="15" t="s">
        <v>70</v>
      </c>
      <c r="D66" s="16" t="s">
        <v>811</v>
      </c>
      <c r="E66" s="15">
        <v>13</v>
      </c>
      <c r="F66" s="15" t="str">
        <f>IFERROR(INDEX(Categories!$B$5:$B$27,MATCH(E66,Categories!$A$5:$A$27,0)),"")</f>
        <v>Environment Setup</v>
      </c>
      <c r="G66" s="15" t="s">
        <v>812</v>
      </c>
      <c r="H66" s="15" t="s">
        <v>97</v>
      </c>
      <c r="I66" s="15" t="s">
        <v>98</v>
      </c>
      <c r="J66" s="17">
        <f>IFERROR(INDEX(Rates!$D$6:$D$15,MATCH(H66&amp;"|"&amp;I66,Rates!$C$6:$C$15,0)),0)</f>
        <v>100</v>
      </c>
      <c r="K66" s="18">
        <v>5</v>
      </c>
      <c r="L66" s="17">
        <f t="shared" si="1"/>
        <v>500</v>
      </c>
      <c r="M66" s="15" t="s">
        <v>813</v>
      </c>
    </row>
    <row r="67" spans="1:13">
      <c r="A67" s="7">
        <v>63</v>
      </c>
      <c r="B67" s="7"/>
      <c r="C67" s="7" t="s">
        <v>70</v>
      </c>
      <c r="D67" s="8" t="s">
        <v>814</v>
      </c>
      <c r="E67" s="7">
        <v>13</v>
      </c>
      <c r="F67" s="7" t="str">
        <f>IFERROR(INDEX(Categories!$B$5:$B$27,MATCH(E67,Categories!$A$5:$A$27,0)),"")</f>
        <v>Environment Setup</v>
      </c>
      <c r="G67" s="7" t="s">
        <v>694</v>
      </c>
      <c r="H67" s="7" t="s">
        <v>97</v>
      </c>
      <c r="I67" s="7" t="s">
        <v>98</v>
      </c>
      <c r="J67" s="13">
        <f>IFERROR(INDEX(Rates!$D$6:$D$15,MATCH(H67&amp;"|"&amp;I67,Rates!$C$6:$C$15,0)),0)</f>
        <v>100</v>
      </c>
      <c r="K67" s="14">
        <v>2</v>
      </c>
      <c r="L67" s="13">
        <f t="shared" si="1"/>
        <v>200</v>
      </c>
      <c r="M67" s="7" t="s">
        <v>695</v>
      </c>
    </row>
    <row r="68" spans="1:13" ht="25.5">
      <c r="A68" s="15">
        <v>64</v>
      </c>
      <c r="B68" s="15"/>
      <c r="C68" s="15" t="s">
        <v>531</v>
      </c>
      <c r="D68" s="16" t="s">
        <v>815</v>
      </c>
      <c r="E68" s="15">
        <v>3</v>
      </c>
      <c r="F68" s="15" t="str">
        <f>IFERROR(INDEX(Categories!$B$5:$B$27,MATCH(E68,Categories!$A$5:$A$27,0)),"")</f>
        <v>CMS &amp; Content Prep</v>
      </c>
      <c r="G68" s="15" t="s">
        <v>816</v>
      </c>
      <c r="H68" s="15" t="s">
        <v>103</v>
      </c>
      <c r="I68" s="15" t="s">
        <v>98</v>
      </c>
      <c r="J68" s="17">
        <f>IFERROR(INDEX(Rates!$D$6:$D$15,MATCH(H68&amp;"|"&amp;I68,Rates!$C$6:$C$15,0)),0)</f>
        <v>0</v>
      </c>
      <c r="K68" s="18">
        <v>3</v>
      </c>
      <c r="L68" s="17">
        <f t="shared" si="1"/>
        <v>0</v>
      </c>
      <c r="M68" s="15" t="s">
        <v>817</v>
      </c>
    </row>
    <row r="69" spans="1:13">
      <c r="A69" s="7">
        <v>65</v>
      </c>
      <c r="B69" s="7"/>
      <c r="C69" s="7" t="s">
        <v>531</v>
      </c>
      <c r="D69" s="8" t="s">
        <v>536</v>
      </c>
      <c r="E69" s="7">
        <v>3</v>
      </c>
      <c r="F69" s="7" t="str">
        <f>IFERROR(INDEX(Categories!$B$5:$B$27,MATCH(E69,Categories!$A$5:$A$27,0)),"")</f>
        <v>CMS &amp; Content Prep</v>
      </c>
      <c r="G69" s="7" t="s">
        <v>818</v>
      </c>
      <c r="H69" s="7" t="s">
        <v>97</v>
      </c>
      <c r="I69" s="7" t="s">
        <v>98</v>
      </c>
      <c r="J69" s="13">
        <f>IFERROR(INDEX(Rates!$D$6:$D$15,MATCH(H69&amp;"|"&amp;I69,Rates!$C$6:$C$15,0)),0)</f>
        <v>100</v>
      </c>
      <c r="K69" s="14">
        <v>2</v>
      </c>
      <c r="L69" s="13">
        <f t="shared" ref="L69:L100" si="2">K69*J69</f>
        <v>200</v>
      </c>
      <c r="M69" s="7" t="s">
        <v>539</v>
      </c>
    </row>
    <row r="70" spans="1:13">
      <c r="A70" s="15">
        <v>66</v>
      </c>
      <c r="B70" s="15"/>
      <c r="C70" s="15" t="s">
        <v>496</v>
      </c>
      <c r="D70" s="16" t="s">
        <v>819</v>
      </c>
      <c r="E70" s="15">
        <v>25</v>
      </c>
      <c r="F70" s="15" t="str">
        <f>IFERROR(INDEX(Categories!$B$5:$B$27,MATCH(E70,Categories!$A$5:$A$27,0)),"")</f>
        <v>QA &amp; Testing</v>
      </c>
      <c r="G70" s="15" t="s">
        <v>820</v>
      </c>
      <c r="H70" s="15" t="s">
        <v>102</v>
      </c>
      <c r="I70" s="15" t="s">
        <v>98</v>
      </c>
      <c r="J70" s="17">
        <f>IFERROR(INDEX(Rates!$D$6:$D$15,MATCH(H70&amp;"|"&amp;I70,Rates!$C$6:$C$15,0)),0)</f>
        <v>80</v>
      </c>
      <c r="K70" s="18">
        <v>4</v>
      </c>
      <c r="L70" s="17">
        <f t="shared" si="2"/>
        <v>320</v>
      </c>
      <c r="M70" s="15" t="s">
        <v>700</v>
      </c>
    </row>
    <row r="71" spans="1:13">
      <c r="A71" s="7">
        <v>67</v>
      </c>
      <c r="B71" s="7"/>
      <c r="C71" s="7" t="s">
        <v>60</v>
      </c>
      <c r="D71" s="8" t="s">
        <v>821</v>
      </c>
      <c r="E71" s="7">
        <v>8</v>
      </c>
      <c r="F71" s="7" t="str">
        <f>IFERROR(INDEX(Categories!$B$5:$B$27,MATCH(E71,Categories!$A$5:$A$27,0)),"")</f>
        <v>Deployment</v>
      </c>
      <c r="G71" s="7" t="s">
        <v>822</v>
      </c>
      <c r="H71" s="7" t="s">
        <v>97</v>
      </c>
      <c r="I71" s="7" t="s">
        <v>98</v>
      </c>
      <c r="J71" s="13">
        <f>IFERROR(INDEX(Rates!$D$6:$D$15,MATCH(H71&amp;"|"&amp;I71,Rates!$C$6:$C$15,0)),0)</f>
        <v>100</v>
      </c>
      <c r="K71" s="14">
        <v>2</v>
      </c>
      <c r="L71" s="13">
        <f t="shared" si="2"/>
        <v>200</v>
      </c>
      <c r="M71" s="7" t="s">
        <v>703</v>
      </c>
    </row>
    <row r="72" spans="1:13">
      <c r="A72" s="15">
        <v>68</v>
      </c>
      <c r="B72" s="15"/>
      <c r="C72" s="15" t="s">
        <v>823</v>
      </c>
      <c r="D72" s="16" t="s">
        <v>824</v>
      </c>
      <c r="E72" s="15">
        <v>25</v>
      </c>
      <c r="F72" s="15" t="str">
        <f>IFERROR(INDEX(Categories!$B$5:$B$27,MATCH(E72,Categories!$A$5:$A$27,0)),"")</f>
        <v>QA &amp; Testing</v>
      </c>
      <c r="G72" s="15" t="s">
        <v>825</v>
      </c>
      <c r="H72" s="15" t="s">
        <v>102</v>
      </c>
      <c r="I72" s="15" t="s">
        <v>98</v>
      </c>
      <c r="J72" s="17">
        <f>IFERROR(INDEX(Rates!$D$6:$D$15,MATCH(H72&amp;"|"&amp;I72,Rates!$C$6:$C$15,0)),0)</f>
        <v>80</v>
      </c>
      <c r="K72" s="18">
        <v>4</v>
      </c>
      <c r="L72" s="17">
        <f t="shared" si="2"/>
        <v>320</v>
      </c>
      <c r="M72" s="15" t="s">
        <v>705</v>
      </c>
    </row>
    <row r="73" spans="1:13">
      <c r="A73" s="7">
        <v>69</v>
      </c>
      <c r="B73" s="7"/>
      <c r="C73" s="7" t="s">
        <v>823</v>
      </c>
      <c r="D73" s="8" t="s">
        <v>549</v>
      </c>
      <c r="E73" s="7">
        <v>4</v>
      </c>
      <c r="F73" s="7" t="str">
        <f>IFERROR(INDEX(Categories!$B$5:$B$27,MATCH(E73,Categories!$A$5:$A$27,0)),"")</f>
        <v>Conversion Tracking</v>
      </c>
      <c r="G73" s="7" t="s">
        <v>826</v>
      </c>
      <c r="H73" s="7" t="s">
        <v>102</v>
      </c>
      <c r="I73" s="7" t="s">
        <v>98</v>
      </c>
      <c r="J73" s="13">
        <f>IFERROR(INDEX(Rates!$D$6:$D$15,MATCH(H73&amp;"|"&amp;I73,Rates!$C$6:$C$15,0)),0)</f>
        <v>80</v>
      </c>
      <c r="K73" s="14">
        <v>2</v>
      </c>
      <c r="L73" s="13">
        <f t="shared" si="2"/>
        <v>160</v>
      </c>
      <c r="M73" s="7"/>
    </row>
    <row r="75" spans="1:13">
      <c r="D75" s="19" t="s">
        <v>552</v>
      </c>
      <c r="K75" s="20">
        <f>SUM(K5:K73)</f>
        <v>295</v>
      </c>
      <c r="L75" s="21">
        <f>SUM(L5:L73)</f>
        <v>30520</v>
      </c>
      <c r="M75" s="12" t="s">
        <v>553</v>
      </c>
    </row>
  </sheetData>
  <autoFilter ref="A4:M73"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76"/>
  <sheetViews>
    <sheetView zoomScaleNormal="100" workbookViewId="0">
      <pane xSplit="4" ySplit="4" topLeftCell="E5" activePane="bottomRight" state="frozen"/>
      <selection pane="bottomRight"/>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827</v>
      </c>
    </row>
    <row r="2" spans="1:13">
      <c r="A2" s="2" t="s">
        <v>555</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2</v>
      </c>
      <c r="L5" s="13">
        <f t="shared" ref="L5:L36" si="0">K5*J5</f>
        <v>200</v>
      </c>
      <c r="M5" s="7"/>
    </row>
    <row r="6" spans="1:13" ht="25.5">
      <c r="A6" s="15">
        <v>2</v>
      </c>
      <c r="B6" s="15"/>
      <c r="C6" s="15" t="s">
        <v>111</v>
      </c>
      <c r="D6" s="16" t="s">
        <v>115</v>
      </c>
      <c r="E6" s="15">
        <v>14</v>
      </c>
      <c r="F6" s="15" t="str">
        <f>IFERROR(INDEX(Categories!$B$5:$B$27,MATCH(E6,Categories!$A$5:$A$27,0)),"")</f>
        <v>Frontend</v>
      </c>
      <c r="G6" s="15" t="s">
        <v>828</v>
      </c>
      <c r="H6" s="15" t="s">
        <v>97</v>
      </c>
      <c r="I6" s="15" t="s">
        <v>98</v>
      </c>
      <c r="J6" s="17">
        <f>IFERROR(INDEX(Rates!$D$6:$D$15,MATCH(H6&amp;"|"&amp;I6,Rates!$C$6:$C$15,0)),0)</f>
        <v>100</v>
      </c>
      <c r="K6" s="18">
        <v>3</v>
      </c>
      <c r="L6" s="17">
        <f t="shared" si="0"/>
        <v>300</v>
      </c>
      <c r="M6" s="15" t="s">
        <v>557</v>
      </c>
    </row>
    <row r="7" spans="1:13">
      <c r="A7" s="7">
        <v>3</v>
      </c>
      <c r="B7" s="7"/>
      <c r="C7" s="7" t="s">
        <v>111</v>
      </c>
      <c r="D7" s="8" t="s">
        <v>709</v>
      </c>
      <c r="E7" s="7">
        <v>15</v>
      </c>
      <c r="F7" s="7" t="str">
        <f>IFERROR(INDEX(Categories!$B$5:$B$27,MATCH(E7,Categories!$A$5:$A$27,0)),"")</f>
        <v>Integration</v>
      </c>
      <c r="G7" s="7" t="s">
        <v>829</v>
      </c>
      <c r="H7" s="7" t="s">
        <v>97</v>
      </c>
      <c r="I7" s="7" t="s">
        <v>98</v>
      </c>
      <c r="J7" s="13">
        <f>IFERROR(INDEX(Rates!$D$6:$D$15,MATCH(H7&amp;"|"&amp;I7,Rates!$C$6:$C$15,0)),0)</f>
        <v>100</v>
      </c>
      <c r="K7" s="14">
        <v>3</v>
      </c>
      <c r="L7" s="13">
        <f t="shared" si="0"/>
        <v>300</v>
      </c>
      <c r="M7" s="7" t="s">
        <v>711</v>
      </c>
    </row>
    <row r="8" spans="1:13">
      <c r="A8" s="15">
        <v>4</v>
      </c>
      <c r="B8" s="15"/>
      <c r="C8" s="15" t="s">
        <v>111</v>
      </c>
      <c r="D8" s="16" t="s">
        <v>124</v>
      </c>
      <c r="E8" s="15">
        <v>14</v>
      </c>
      <c r="F8" s="15" t="str">
        <f>IFERROR(INDEX(Categories!$B$5:$B$27,MATCH(E8,Categories!$A$5:$A$27,0)),"")</f>
        <v>Frontend</v>
      </c>
      <c r="G8" s="15" t="s">
        <v>830</v>
      </c>
      <c r="H8" s="15" t="s">
        <v>97</v>
      </c>
      <c r="I8" s="15" t="s">
        <v>98</v>
      </c>
      <c r="J8" s="17">
        <f>IFERROR(INDEX(Rates!$D$6:$D$15,MATCH(H8&amp;"|"&amp;I8,Rates!$C$6:$C$15,0)),0)</f>
        <v>100</v>
      </c>
      <c r="K8" s="18">
        <v>2</v>
      </c>
      <c r="L8" s="17">
        <f t="shared" si="0"/>
        <v>200</v>
      </c>
      <c r="M8" s="15" t="s">
        <v>561</v>
      </c>
    </row>
    <row r="9" spans="1:13">
      <c r="A9" s="7">
        <v>5</v>
      </c>
      <c r="B9" s="7"/>
      <c r="C9" s="7" t="s">
        <v>111</v>
      </c>
      <c r="D9" s="8" t="s">
        <v>127</v>
      </c>
      <c r="E9" s="7">
        <v>14</v>
      </c>
      <c r="F9" s="7" t="str">
        <f>IFERROR(INDEX(Categories!$B$5:$B$27,MATCH(E9,Categories!$A$5:$A$27,0)),"")</f>
        <v>Frontend</v>
      </c>
      <c r="G9" s="7" t="s">
        <v>831</v>
      </c>
      <c r="H9" s="7" t="s">
        <v>97</v>
      </c>
      <c r="I9" s="7" t="s">
        <v>98</v>
      </c>
      <c r="J9" s="13">
        <f>IFERROR(INDEX(Rates!$D$6:$D$15,MATCH(H9&amp;"|"&amp;I9,Rates!$C$6:$C$15,0)),0)</f>
        <v>100</v>
      </c>
      <c r="K9" s="14">
        <v>2</v>
      </c>
      <c r="L9" s="13">
        <f t="shared" si="0"/>
        <v>200</v>
      </c>
      <c r="M9" s="7" t="s">
        <v>129</v>
      </c>
    </row>
    <row r="10" spans="1:13">
      <c r="A10" s="15">
        <v>6</v>
      </c>
      <c r="B10" s="15"/>
      <c r="C10" s="15" t="s">
        <v>130</v>
      </c>
      <c r="D10" s="16" t="s">
        <v>131</v>
      </c>
      <c r="E10" s="15">
        <v>14</v>
      </c>
      <c r="F10" s="15" t="str">
        <f>IFERROR(INDEX(Categories!$B$5:$B$27,MATCH(E10,Categories!$A$5:$A$27,0)),"")</f>
        <v>Frontend</v>
      </c>
      <c r="G10" s="15" t="s">
        <v>714</v>
      </c>
      <c r="H10" s="15" t="s">
        <v>97</v>
      </c>
      <c r="I10" s="15" t="s">
        <v>98</v>
      </c>
      <c r="J10" s="17">
        <f>IFERROR(INDEX(Rates!$D$6:$D$15,MATCH(H10&amp;"|"&amp;I10,Rates!$C$6:$C$15,0)),0)</f>
        <v>100</v>
      </c>
      <c r="K10" s="18">
        <v>4</v>
      </c>
      <c r="L10" s="17">
        <f t="shared" si="0"/>
        <v>400</v>
      </c>
      <c r="M10" s="15"/>
    </row>
    <row r="11" spans="1:13">
      <c r="A11" s="7">
        <v>7</v>
      </c>
      <c r="B11" s="7"/>
      <c r="C11" s="7" t="s">
        <v>130</v>
      </c>
      <c r="D11" s="8" t="s">
        <v>134</v>
      </c>
      <c r="E11" s="7">
        <v>14</v>
      </c>
      <c r="F11" s="7" t="str">
        <f>IFERROR(INDEX(Categories!$B$5:$B$27,MATCH(E11,Categories!$A$5:$A$27,0)),"")</f>
        <v>Frontend</v>
      </c>
      <c r="G11" s="7" t="s">
        <v>832</v>
      </c>
      <c r="H11" s="7" t="s">
        <v>97</v>
      </c>
      <c r="I11" s="7" t="s">
        <v>98</v>
      </c>
      <c r="J11" s="13">
        <f>IFERROR(INDEX(Rates!$D$6:$D$15,MATCH(H11&amp;"|"&amp;I11,Rates!$C$6:$C$15,0)),0)</f>
        <v>100</v>
      </c>
      <c r="K11" s="14">
        <v>3</v>
      </c>
      <c r="L11" s="13">
        <f t="shared" si="0"/>
        <v>300</v>
      </c>
      <c r="M11" s="7" t="s">
        <v>136</v>
      </c>
    </row>
    <row r="12" spans="1:13" ht="25.5">
      <c r="A12" s="15">
        <v>8</v>
      </c>
      <c r="B12" s="15"/>
      <c r="C12" s="15" t="s">
        <v>130</v>
      </c>
      <c r="D12" s="16" t="s">
        <v>137</v>
      </c>
      <c r="E12" s="15">
        <v>14</v>
      </c>
      <c r="F12" s="15" t="str">
        <f>IFERROR(INDEX(Categories!$B$5:$B$27,MATCH(E12,Categories!$A$5:$A$27,0)),"")</f>
        <v>Frontend</v>
      </c>
      <c r="G12" s="15" t="s">
        <v>833</v>
      </c>
      <c r="H12" s="15" t="s">
        <v>97</v>
      </c>
      <c r="I12" s="15" t="s">
        <v>98</v>
      </c>
      <c r="J12" s="17">
        <f>IFERROR(INDEX(Rates!$D$6:$D$15,MATCH(H12&amp;"|"&amp;I12,Rates!$C$6:$C$15,0)),0)</f>
        <v>100</v>
      </c>
      <c r="K12" s="18">
        <v>2</v>
      </c>
      <c r="L12" s="17">
        <f t="shared" si="0"/>
        <v>200</v>
      </c>
      <c r="M12" s="15" t="s">
        <v>139</v>
      </c>
    </row>
    <row r="13" spans="1:13">
      <c r="A13" s="7">
        <v>9</v>
      </c>
      <c r="B13" s="7"/>
      <c r="C13" s="7" t="s">
        <v>130</v>
      </c>
      <c r="D13" s="8" t="s">
        <v>140</v>
      </c>
      <c r="E13" s="7">
        <v>14</v>
      </c>
      <c r="F13" s="7" t="str">
        <f>IFERROR(INDEX(Categories!$B$5:$B$27,MATCH(E13,Categories!$A$5:$A$27,0)),"")</f>
        <v>Frontend</v>
      </c>
      <c r="G13" s="7" t="s">
        <v>834</v>
      </c>
      <c r="H13" s="7" t="s">
        <v>97</v>
      </c>
      <c r="I13" s="7" t="s">
        <v>98</v>
      </c>
      <c r="J13" s="13">
        <f>IFERROR(INDEX(Rates!$D$6:$D$15,MATCH(H13&amp;"|"&amp;I13,Rates!$C$6:$C$15,0)),0)</f>
        <v>100</v>
      </c>
      <c r="K13" s="14">
        <v>2</v>
      </c>
      <c r="L13" s="13">
        <f t="shared" si="0"/>
        <v>200</v>
      </c>
      <c r="M13" s="7" t="s">
        <v>567</v>
      </c>
    </row>
    <row r="14" spans="1:13">
      <c r="A14" s="15">
        <v>10</v>
      </c>
      <c r="B14" s="15"/>
      <c r="C14" s="15" t="s">
        <v>111</v>
      </c>
      <c r="D14" s="16" t="s">
        <v>143</v>
      </c>
      <c r="E14" s="15">
        <v>14</v>
      </c>
      <c r="F14" s="15" t="str">
        <f>IFERROR(INDEX(Categories!$B$5:$B$27,MATCH(E14,Categories!$A$5:$A$27,0)),"")</f>
        <v>Frontend</v>
      </c>
      <c r="G14" s="15" t="s">
        <v>835</v>
      </c>
      <c r="H14" s="15" t="s">
        <v>97</v>
      </c>
      <c r="I14" s="15" t="s">
        <v>98</v>
      </c>
      <c r="J14" s="17">
        <f>IFERROR(INDEX(Rates!$D$6:$D$15,MATCH(H14&amp;"|"&amp;I14,Rates!$C$6:$C$15,0)),0)</f>
        <v>100</v>
      </c>
      <c r="K14" s="18">
        <v>4</v>
      </c>
      <c r="L14" s="17">
        <f t="shared" si="0"/>
        <v>400</v>
      </c>
      <c r="M14" s="15" t="s">
        <v>145</v>
      </c>
    </row>
    <row r="15" spans="1:13">
      <c r="A15" s="7">
        <v>11</v>
      </c>
      <c r="B15" s="7"/>
      <c r="C15" s="7" t="s">
        <v>111</v>
      </c>
      <c r="D15" s="8" t="s">
        <v>146</v>
      </c>
      <c r="E15" s="7">
        <v>14</v>
      </c>
      <c r="F15" s="7" t="str">
        <f>IFERROR(INDEX(Categories!$B$5:$B$27,MATCH(E15,Categories!$A$5:$A$27,0)),"")</f>
        <v>Frontend</v>
      </c>
      <c r="G15" s="7" t="s">
        <v>836</v>
      </c>
      <c r="H15" s="7" t="s">
        <v>97</v>
      </c>
      <c r="I15" s="7" t="s">
        <v>98</v>
      </c>
      <c r="J15" s="13">
        <f>IFERROR(INDEX(Rates!$D$6:$D$15,MATCH(H15&amp;"|"&amp;I15,Rates!$C$6:$C$15,0)),0)</f>
        <v>100</v>
      </c>
      <c r="K15" s="14">
        <v>2</v>
      </c>
      <c r="L15" s="13">
        <f t="shared" si="0"/>
        <v>200</v>
      </c>
      <c r="M15" s="7" t="s">
        <v>571</v>
      </c>
    </row>
    <row r="16" spans="1:13">
      <c r="A16" s="15">
        <v>12</v>
      </c>
      <c r="B16" s="15"/>
      <c r="C16" s="15" t="s">
        <v>111</v>
      </c>
      <c r="D16" s="16" t="s">
        <v>572</v>
      </c>
      <c r="E16" s="15">
        <v>14</v>
      </c>
      <c r="F16" s="15" t="str">
        <f>IFERROR(INDEX(Categories!$B$5:$B$27,MATCH(E16,Categories!$A$5:$A$27,0)),"")</f>
        <v>Frontend</v>
      </c>
      <c r="G16" s="15" t="s">
        <v>837</v>
      </c>
      <c r="H16" s="15" t="s">
        <v>97</v>
      </c>
      <c r="I16" s="15" t="s">
        <v>98</v>
      </c>
      <c r="J16" s="17">
        <f>IFERROR(INDEX(Rates!$D$6:$D$15,MATCH(H16&amp;"|"&amp;I16,Rates!$C$6:$C$15,0)),0)</f>
        <v>100</v>
      </c>
      <c r="K16" s="18">
        <v>1</v>
      </c>
      <c r="L16" s="17">
        <f t="shared" si="0"/>
        <v>100</v>
      </c>
      <c r="M16" s="15" t="s">
        <v>151</v>
      </c>
    </row>
    <row r="17" spans="1:13" ht="25.5">
      <c r="A17" s="7">
        <v>13</v>
      </c>
      <c r="B17" s="7"/>
      <c r="C17" s="7" t="s">
        <v>111</v>
      </c>
      <c r="D17" s="8" t="s">
        <v>838</v>
      </c>
      <c r="E17" s="7">
        <v>15</v>
      </c>
      <c r="F17" s="7" t="str">
        <f>IFERROR(INDEX(Categories!$B$5:$B$27,MATCH(E17,Categories!$A$5:$A$27,0)),"")</f>
        <v>Integration</v>
      </c>
      <c r="G17" s="7" t="s">
        <v>839</v>
      </c>
      <c r="H17" s="7" t="s">
        <v>97</v>
      </c>
      <c r="I17" s="7" t="s">
        <v>98</v>
      </c>
      <c r="J17" s="13">
        <f>IFERROR(INDEX(Rates!$D$6:$D$15,MATCH(H17&amp;"|"&amp;I17,Rates!$C$6:$C$15,0)),0)</f>
        <v>100</v>
      </c>
      <c r="K17" s="14">
        <v>4</v>
      </c>
      <c r="L17" s="13">
        <f t="shared" si="0"/>
        <v>400</v>
      </c>
      <c r="M17" s="7" t="s">
        <v>322</v>
      </c>
    </row>
    <row r="18" spans="1:13">
      <c r="A18" s="15">
        <v>14</v>
      </c>
      <c r="B18" s="15"/>
      <c r="C18" s="15" t="s">
        <v>111</v>
      </c>
      <c r="D18" s="16" t="s">
        <v>156</v>
      </c>
      <c r="E18" s="15">
        <v>14</v>
      </c>
      <c r="F18" s="15" t="str">
        <f>IFERROR(INDEX(Categories!$B$5:$B$27,MATCH(E18,Categories!$A$5:$A$27,0)),"")</f>
        <v>Frontend</v>
      </c>
      <c r="G18" s="15" t="s">
        <v>832</v>
      </c>
      <c r="H18" s="15" t="s">
        <v>97</v>
      </c>
      <c r="I18" s="15" t="s">
        <v>98</v>
      </c>
      <c r="J18" s="17">
        <f>IFERROR(INDEX(Rates!$D$6:$D$15,MATCH(H18&amp;"|"&amp;I18,Rates!$C$6:$C$15,0)),0)</f>
        <v>100</v>
      </c>
      <c r="K18" s="18">
        <v>2</v>
      </c>
      <c r="L18" s="17">
        <f t="shared" si="0"/>
        <v>200</v>
      </c>
      <c r="M18" s="15"/>
    </row>
    <row r="19" spans="1:13">
      <c r="A19" s="7">
        <v>15</v>
      </c>
      <c r="B19" s="7"/>
      <c r="C19" s="7" t="s">
        <v>111</v>
      </c>
      <c r="D19" s="8" t="s">
        <v>840</v>
      </c>
      <c r="E19" s="7">
        <v>15</v>
      </c>
      <c r="F19" s="7" t="str">
        <f>IFERROR(INDEX(Categories!$B$5:$B$27,MATCH(E19,Categories!$A$5:$A$27,0)),"")</f>
        <v>Integration</v>
      </c>
      <c r="G19" s="7" t="s">
        <v>841</v>
      </c>
      <c r="H19" s="7" t="s">
        <v>97</v>
      </c>
      <c r="I19" s="7" t="s">
        <v>98</v>
      </c>
      <c r="J19" s="13">
        <f>IFERROR(INDEX(Rates!$D$6:$D$15,MATCH(H19&amp;"|"&amp;I19,Rates!$C$6:$C$15,0)),0)</f>
        <v>100</v>
      </c>
      <c r="K19" s="14">
        <v>2</v>
      </c>
      <c r="L19" s="13">
        <f t="shared" si="0"/>
        <v>200</v>
      </c>
      <c r="M19" s="7"/>
    </row>
    <row r="20" spans="1:13" ht="25.5">
      <c r="A20" s="15">
        <v>16</v>
      </c>
      <c r="B20" s="15"/>
      <c r="C20" s="15" t="s">
        <v>206</v>
      </c>
      <c r="D20" s="16" t="s">
        <v>207</v>
      </c>
      <c r="E20" s="15">
        <v>14</v>
      </c>
      <c r="F20" s="15" t="str">
        <f>IFERROR(INDEX(Categories!$B$5:$B$27,MATCH(E20,Categories!$A$5:$A$27,0)),"")</f>
        <v>Frontend</v>
      </c>
      <c r="G20" s="15" t="s">
        <v>842</v>
      </c>
      <c r="H20" s="15" t="s">
        <v>100</v>
      </c>
      <c r="I20" s="15" t="s">
        <v>98</v>
      </c>
      <c r="J20" s="17">
        <f>IFERROR(INDEX(Rates!$D$6:$D$15,MATCH(H20&amp;"|"&amp;I20,Rates!$C$6:$C$15,0)),0)</f>
        <v>100</v>
      </c>
      <c r="K20" s="18">
        <v>5</v>
      </c>
      <c r="L20" s="17">
        <f t="shared" si="0"/>
        <v>500</v>
      </c>
      <c r="M20" s="15" t="s">
        <v>209</v>
      </c>
    </row>
    <row r="21" spans="1:13">
      <c r="A21" s="7">
        <v>17</v>
      </c>
      <c r="B21" s="7"/>
      <c r="C21" s="7" t="s">
        <v>206</v>
      </c>
      <c r="D21" s="8" t="s">
        <v>210</v>
      </c>
      <c r="E21" s="7">
        <v>14</v>
      </c>
      <c r="F21" s="7" t="str">
        <f>IFERROR(INDEX(Categories!$B$5:$B$27,MATCH(E21,Categories!$A$5:$A$27,0)),"")</f>
        <v>Frontend</v>
      </c>
      <c r="G21" s="7" t="s">
        <v>843</v>
      </c>
      <c r="H21" s="7" t="s">
        <v>97</v>
      </c>
      <c r="I21" s="7" t="s">
        <v>99</v>
      </c>
      <c r="J21" s="13">
        <f>IFERROR(INDEX(Rates!$D$6:$D$15,MATCH(H21&amp;"|"&amp;I21,Rates!$C$6:$C$15,0)),0)</f>
        <v>120</v>
      </c>
      <c r="K21" s="14">
        <v>3</v>
      </c>
      <c r="L21" s="13">
        <f t="shared" si="0"/>
        <v>360</v>
      </c>
      <c r="M21" s="7" t="s">
        <v>844</v>
      </c>
    </row>
    <row r="22" spans="1:13" ht="25.5">
      <c r="A22" s="15">
        <v>18</v>
      </c>
      <c r="B22" s="15"/>
      <c r="C22" s="15" t="s">
        <v>206</v>
      </c>
      <c r="D22" s="16" t="s">
        <v>213</v>
      </c>
      <c r="E22" s="15">
        <v>14</v>
      </c>
      <c r="F22" s="15" t="str">
        <f>IFERROR(INDEX(Categories!$B$5:$B$27,MATCH(E22,Categories!$A$5:$A$27,0)),"")</f>
        <v>Frontend</v>
      </c>
      <c r="G22" s="15" t="s">
        <v>845</v>
      </c>
      <c r="H22" s="15" t="s">
        <v>97</v>
      </c>
      <c r="I22" s="15" t="s">
        <v>98</v>
      </c>
      <c r="J22" s="17">
        <f>IFERROR(INDEX(Rates!$D$6:$D$15,MATCH(H22&amp;"|"&amp;I22,Rates!$C$6:$C$15,0)),0)</f>
        <v>100</v>
      </c>
      <c r="K22" s="18">
        <v>3</v>
      </c>
      <c r="L22" s="17">
        <f t="shared" si="0"/>
        <v>300</v>
      </c>
      <c r="M22" s="15" t="s">
        <v>215</v>
      </c>
    </row>
    <row r="23" spans="1:13" ht="25.5">
      <c r="A23" s="7">
        <v>19</v>
      </c>
      <c r="B23" s="7"/>
      <c r="C23" s="7" t="s">
        <v>206</v>
      </c>
      <c r="D23" s="8" t="s">
        <v>584</v>
      </c>
      <c r="E23" s="7">
        <v>14</v>
      </c>
      <c r="F23" s="7" t="str">
        <f>IFERROR(INDEX(Categories!$B$5:$B$27,MATCH(E23,Categories!$A$5:$A$27,0)),"")</f>
        <v>Frontend</v>
      </c>
      <c r="G23" s="7" t="s">
        <v>846</v>
      </c>
      <c r="H23" s="7" t="s">
        <v>97</v>
      </c>
      <c r="I23" s="7" t="s">
        <v>98</v>
      </c>
      <c r="J23" s="13">
        <f>IFERROR(INDEX(Rates!$D$6:$D$15,MATCH(H23&amp;"|"&amp;I23,Rates!$C$6:$C$15,0)),0)</f>
        <v>100</v>
      </c>
      <c r="K23" s="14">
        <v>5</v>
      </c>
      <c r="L23" s="13">
        <f t="shared" si="0"/>
        <v>500</v>
      </c>
      <c r="M23" s="7" t="s">
        <v>847</v>
      </c>
    </row>
    <row r="24" spans="1:13">
      <c r="A24" s="15">
        <v>20</v>
      </c>
      <c r="B24" s="15"/>
      <c r="C24" s="15" t="s">
        <v>130</v>
      </c>
      <c r="D24" s="16" t="s">
        <v>222</v>
      </c>
      <c r="E24" s="15">
        <v>14</v>
      </c>
      <c r="F24" s="15" t="str">
        <f>IFERROR(INDEX(Categories!$B$5:$B$27,MATCH(E24,Categories!$A$5:$A$27,0)),"")</f>
        <v>Frontend</v>
      </c>
      <c r="G24" s="15" t="s">
        <v>848</v>
      </c>
      <c r="H24" s="15" t="s">
        <v>97</v>
      </c>
      <c r="I24" s="15" t="s">
        <v>98</v>
      </c>
      <c r="J24" s="17">
        <f>IFERROR(INDEX(Rates!$D$6:$D$15,MATCH(H24&amp;"|"&amp;I24,Rates!$C$6:$C$15,0)),0)</f>
        <v>100</v>
      </c>
      <c r="K24" s="18">
        <v>2</v>
      </c>
      <c r="L24" s="17">
        <f t="shared" si="0"/>
        <v>200</v>
      </c>
      <c r="M24" s="15" t="s">
        <v>590</v>
      </c>
    </row>
    <row r="25" spans="1:13" ht="25.5">
      <c r="A25" s="7">
        <v>21</v>
      </c>
      <c r="B25" s="7"/>
      <c r="C25" s="7" t="s">
        <v>130</v>
      </c>
      <c r="D25" s="8" t="s">
        <v>577</v>
      </c>
      <c r="E25" s="7">
        <v>18</v>
      </c>
      <c r="F25" s="7" t="str">
        <f>IFERROR(INDEX(Categories!$B$5:$B$27,MATCH(E25,Categories!$A$5:$A$27,0)),"")</f>
        <v>Performance &amp; Security</v>
      </c>
      <c r="G25" s="7" t="s">
        <v>849</v>
      </c>
      <c r="H25" s="7" t="s">
        <v>97</v>
      </c>
      <c r="I25" s="7" t="s">
        <v>98</v>
      </c>
      <c r="J25" s="13">
        <f>IFERROR(INDEX(Rates!$D$6:$D$15,MATCH(H25&amp;"|"&amp;I25,Rates!$C$6:$C$15,0)),0)</f>
        <v>100</v>
      </c>
      <c r="K25" s="14">
        <v>1</v>
      </c>
      <c r="L25" s="13">
        <f t="shared" si="0"/>
        <v>100</v>
      </c>
      <c r="M25" s="7" t="s">
        <v>734</v>
      </c>
    </row>
    <row r="26" spans="1:13" ht="25.5">
      <c r="A26" s="15">
        <v>22</v>
      </c>
      <c r="B26" s="15"/>
      <c r="C26" s="15" t="s">
        <v>174</v>
      </c>
      <c r="D26" s="16" t="s">
        <v>175</v>
      </c>
      <c r="E26" s="15">
        <v>14</v>
      </c>
      <c r="F26" s="15" t="str">
        <f>IFERROR(INDEX(Categories!$B$5:$B$27,MATCH(E26,Categories!$A$5:$A$27,0)),"")</f>
        <v>Frontend</v>
      </c>
      <c r="G26" s="15" t="s">
        <v>735</v>
      </c>
      <c r="H26" s="15" t="s">
        <v>97</v>
      </c>
      <c r="I26" s="15" t="s">
        <v>98</v>
      </c>
      <c r="J26" s="17">
        <f>IFERROR(INDEX(Rates!$D$6:$D$15,MATCH(H26&amp;"|"&amp;I26,Rates!$C$6:$C$15,0)),0)</f>
        <v>100</v>
      </c>
      <c r="K26" s="18">
        <v>6</v>
      </c>
      <c r="L26" s="17">
        <f t="shared" si="0"/>
        <v>600</v>
      </c>
      <c r="M26" s="15" t="s">
        <v>601</v>
      </c>
    </row>
    <row r="27" spans="1:13" ht="25.5">
      <c r="A27" s="7">
        <v>23</v>
      </c>
      <c r="B27" s="7"/>
      <c r="C27" s="7" t="s">
        <v>178</v>
      </c>
      <c r="D27" s="8" t="s">
        <v>736</v>
      </c>
      <c r="E27" s="7">
        <v>14</v>
      </c>
      <c r="F27" s="7" t="str">
        <f>IFERROR(INDEX(Categories!$B$5:$B$27,MATCH(E27,Categories!$A$5:$A$27,0)),"")</f>
        <v>Frontend</v>
      </c>
      <c r="G27" s="7" t="s">
        <v>737</v>
      </c>
      <c r="H27" s="7" t="s">
        <v>97</v>
      </c>
      <c r="I27" s="7" t="s">
        <v>98</v>
      </c>
      <c r="J27" s="13">
        <f>IFERROR(INDEX(Rates!$D$6:$D$15,MATCH(H27&amp;"|"&amp;I27,Rates!$C$6:$C$15,0)),0)</f>
        <v>100</v>
      </c>
      <c r="K27" s="14">
        <v>7</v>
      </c>
      <c r="L27" s="13">
        <f t="shared" si="0"/>
        <v>700</v>
      </c>
      <c r="M27" s="7" t="s">
        <v>604</v>
      </c>
    </row>
    <row r="28" spans="1:13" ht="25.5">
      <c r="A28" s="15">
        <v>24</v>
      </c>
      <c r="B28" s="15"/>
      <c r="C28" s="15" t="s">
        <v>182</v>
      </c>
      <c r="D28" s="16" t="s">
        <v>605</v>
      </c>
      <c r="E28" s="15">
        <v>14</v>
      </c>
      <c r="F28" s="15" t="str">
        <f>IFERROR(INDEX(Categories!$B$5:$B$27,MATCH(E28,Categories!$A$5:$A$27,0)),"")</f>
        <v>Frontend</v>
      </c>
      <c r="G28" s="15" t="s">
        <v>850</v>
      </c>
      <c r="H28" s="15" t="s">
        <v>97</v>
      </c>
      <c r="I28" s="15" t="s">
        <v>98</v>
      </c>
      <c r="J28" s="17">
        <f>IFERROR(INDEX(Rates!$D$6:$D$15,MATCH(H28&amp;"|"&amp;I28,Rates!$C$6:$C$15,0)),0)</f>
        <v>100</v>
      </c>
      <c r="K28" s="18">
        <v>5</v>
      </c>
      <c r="L28" s="17">
        <f t="shared" si="0"/>
        <v>500</v>
      </c>
      <c r="M28" s="15" t="s">
        <v>607</v>
      </c>
    </row>
    <row r="29" spans="1:13">
      <c r="A29" s="7">
        <v>25</v>
      </c>
      <c r="B29" s="7"/>
      <c r="C29" s="7" t="s">
        <v>739</v>
      </c>
      <c r="D29" s="8" t="s">
        <v>660</v>
      </c>
      <c r="E29" s="7">
        <v>22</v>
      </c>
      <c r="F29" s="7" t="str">
        <f>IFERROR(INDEX(Categories!$B$5:$B$27,MATCH(E29,Categories!$A$5:$A$27,0)),"")</f>
        <v>SEO &amp; Content</v>
      </c>
      <c r="G29" s="7" t="s">
        <v>851</v>
      </c>
      <c r="H29" s="7" t="s">
        <v>97</v>
      </c>
      <c r="I29" s="7" t="s">
        <v>98</v>
      </c>
      <c r="J29" s="13">
        <f>IFERROR(INDEX(Rates!$D$6:$D$15,MATCH(H29&amp;"|"&amp;I29,Rates!$C$6:$C$15,0)),0)</f>
        <v>100</v>
      </c>
      <c r="K29" s="14">
        <v>4</v>
      </c>
      <c r="L29" s="13">
        <f t="shared" si="0"/>
        <v>400</v>
      </c>
      <c r="M29" s="7" t="s">
        <v>435</v>
      </c>
    </row>
    <row r="30" spans="1:13">
      <c r="A30" s="15">
        <v>26</v>
      </c>
      <c r="B30" s="15"/>
      <c r="C30" s="15" t="s">
        <v>232</v>
      </c>
      <c r="D30" s="16" t="s">
        <v>741</v>
      </c>
      <c r="E30" s="15">
        <v>14</v>
      </c>
      <c r="F30" s="15" t="str">
        <f>IFERROR(INDEX(Categories!$B$5:$B$27,MATCH(E30,Categories!$A$5:$A$27,0)),"")</f>
        <v>Frontend</v>
      </c>
      <c r="G30" s="15" t="s">
        <v>852</v>
      </c>
      <c r="H30" s="15" t="s">
        <v>97</v>
      </c>
      <c r="I30" s="15" t="s">
        <v>98</v>
      </c>
      <c r="J30" s="17">
        <f>IFERROR(INDEX(Rates!$D$6:$D$15,MATCH(H30&amp;"|"&amp;I30,Rates!$C$6:$C$15,0)),0)</f>
        <v>100</v>
      </c>
      <c r="K30" s="18">
        <v>3</v>
      </c>
      <c r="L30" s="17">
        <f t="shared" si="0"/>
        <v>300</v>
      </c>
      <c r="M30" s="15" t="s">
        <v>235</v>
      </c>
    </row>
    <row r="31" spans="1:13">
      <c r="A31" s="7">
        <v>27</v>
      </c>
      <c r="B31" s="7"/>
      <c r="C31" s="7" t="s">
        <v>236</v>
      </c>
      <c r="D31" s="8" t="s">
        <v>743</v>
      </c>
      <c r="E31" s="7">
        <v>14</v>
      </c>
      <c r="F31" s="7" t="str">
        <f>IFERROR(INDEX(Categories!$B$5:$B$27,MATCH(E31,Categories!$A$5:$A$27,0)),"")</f>
        <v>Frontend</v>
      </c>
      <c r="G31" s="7" t="s">
        <v>853</v>
      </c>
      <c r="H31" s="7" t="s">
        <v>97</v>
      </c>
      <c r="I31" s="7" t="s">
        <v>98</v>
      </c>
      <c r="J31" s="13">
        <f>IFERROR(INDEX(Rates!$D$6:$D$15,MATCH(H31&amp;"|"&amp;I31,Rates!$C$6:$C$15,0)),0)</f>
        <v>100</v>
      </c>
      <c r="K31" s="14">
        <v>6</v>
      </c>
      <c r="L31" s="13">
        <f t="shared" si="0"/>
        <v>600</v>
      </c>
      <c r="M31" s="7" t="s">
        <v>239</v>
      </c>
    </row>
    <row r="32" spans="1:13">
      <c r="A32" s="15">
        <v>28</v>
      </c>
      <c r="B32" s="15"/>
      <c r="C32" s="15" t="s">
        <v>257</v>
      </c>
      <c r="D32" s="16" t="s">
        <v>258</v>
      </c>
      <c r="E32" s="15">
        <v>15</v>
      </c>
      <c r="F32" s="15" t="str">
        <f>IFERROR(INDEX(Categories!$B$5:$B$27,MATCH(E32,Categories!$A$5:$A$27,0)),"")</f>
        <v>Integration</v>
      </c>
      <c r="G32" s="15" t="s">
        <v>854</v>
      </c>
      <c r="H32" s="15" t="s">
        <v>97</v>
      </c>
      <c r="I32" s="15" t="s">
        <v>98</v>
      </c>
      <c r="J32" s="17">
        <f>IFERROR(INDEX(Rates!$D$6:$D$15,MATCH(H32&amp;"|"&amp;I32,Rates!$C$6:$C$15,0)),0)</f>
        <v>100</v>
      </c>
      <c r="K32" s="18">
        <v>3</v>
      </c>
      <c r="L32" s="17">
        <f t="shared" si="0"/>
        <v>300</v>
      </c>
      <c r="M32" s="15" t="s">
        <v>747</v>
      </c>
    </row>
    <row r="33" spans="1:13">
      <c r="A33" s="7">
        <v>29</v>
      </c>
      <c r="B33" s="7"/>
      <c r="C33" s="7" t="s">
        <v>257</v>
      </c>
      <c r="D33" s="8" t="s">
        <v>261</v>
      </c>
      <c r="E33" s="7">
        <v>15</v>
      </c>
      <c r="F33" s="7" t="str">
        <f>IFERROR(INDEX(Categories!$B$5:$B$27,MATCH(E33,Categories!$A$5:$A$27,0)),"")</f>
        <v>Integration</v>
      </c>
      <c r="G33" s="7" t="s">
        <v>855</v>
      </c>
      <c r="H33" s="7" t="s">
        <v>97</v>
      </c>
      <c r="I33" s="7" t="s">
        <v>98</v>
      </c>
      <c r="J33" s="13">
        <f>IFERROR(INDEX(Rates!$D$6:$D$15,MATCH(H33&amp;"|"&amp;I33,Rates!$C$6:$C$15,0)),0)</f>
        <v>100</v>
      </c>
      <c r="K33" s="14">
        <v>2</v>
      </c>
      <c r="L33" s="13">
        <f t="shared" si="0"/>
        <v>200</v>
      </c>
      <c r="M33" s="7" t="s">
        <v>749</v>
      </c>
    </row>
    <row r="34" spans="1:13">
      <c r="A34" s="15">
        <v>30</v>
      </c>
      <c r="B34" s="15"/>
      <c r="C34" s="15" t="s">
        <v>257</v>
      </c>
      <c r="D34" s="16" t="s">
        <v>264</v>
      </c>
      <c r="E34" s="15">
        <v>15</v>
      </c>
      <c r="F34" s="15" t="str">
        <f>IFERROR(INDEX(Categories!$B$5:$B$27,MATCH(E34,Categories!$A$5:$A$27,0)),"")</f>
        <v>Integration</v>
      </c>
      <c r="G34" s="15" t="s">
        <v>856</v>
      </c>
      <c r="H34" s="15" t="s">
        <v>97</v>
      </c>
      <c r="I34" s="15" t="s">
        <v>99</v>
      </c>
      <c r="J34" s="17">
        <f>IFERROR(INDEX(Rates!$D$6:$D$15,MATCH(H34&amp;"|"&amp;I34,Rates!$C$6:$C$15,0)),0)</f>
        <v>120</v>
      </c>
      <c r="K34" s="18">
        <v>10</v>
      </c>
      <c r="L34" s="17">
        <f t="shared" si="0"/>
        <v>1200</v>
      </c>
      <c r="M34" s="15" t="s">
        <v>857</v>
      </c>
    </row>
    <row r="35" spans="1:13">
      <c r="A35" s="7">
        <v>31</v>
      </c>
      <c r="B35" s="7"/>
      <c r="C35" s="7" t="s">
        <v>257</v>
      </c>
      <c r="D35" s="8" t="s">
        <v>267</v>
      </c>
      <c r="E35" s="7">
        <v>15</v>
      </c>
      <c r="F35" s="7" t="str">
        <f>IFERROR(INDEX(Categories!$B$5:$B$27,MATCH(E35,Categories!$A$5:$A$27,0)),"")</f>
        <v>Integration</v>
      </c>
      <c r="G35" s="7" t="s">
        <v>858</v>
      </c>
      <c r="H35" s="7" t="s">
        <v>97</v>
      </c>
      <c r="I35" s="7" t="s">
        <v>99</v>
      </c>
      <c r="J35" s="13">
        <f>IFERROR(INDEX(Rates!$D$6:$D$15,MATCH(H35&amp;"|"&amp;I35,Rates!$C$6:$C$15,0)),0)</f>
        <v>120</v>
      </c>
      <c r="K35" s="14">
        <v>18</v>
      </c>
      <c r="L35" s="13">
        <f t="shared" si="0"/>
        <v>2160</v>
      </c>
      <c r="M35" s="7" t="s">
        <v>859</v>
      </c>
    </row>
    <row r="36" spans="1:13" ht="25.5">
      <c r="A36" s="15">
        <v>32</v>
      </c>
      <c r="B36" s="15"/>
      <c r="C36" s="15" t="s">
        <v>257</v>
      </c>
      <c r="D36" s="16" t="s">
        <v>270</v>
      </c>
      <c r="E36" s="15">
        <v>15</v>
      </c>
      <c r="F36" s="15" t="str">
        <f>IFERROR(INDEX(Categories!$B$5:$B$27,MATCH(E36,Categories!$A$5:$A$27,0)),"")</f>
        <v>Integration</v>
      </c>
      <c r="G36" s="15" t="s">
        <v>860</v>
      </c>
      <c r="H36" s="15" t="s">
        <v>97</v>
      </c>
      <c r="I36" s="15" t="s">
        <v>98</v>
      </c>
      <c r="J36" s="17">
        <f>IFERROR(INDEX(Rates!$D$6:$D$15,MATCH(H36&amp;"|"&amp;I36,Rates!$C$6:$C$15,0)),0)</f>
        <v>100</v>
      </c>
      <c r="K36" s="18">
        <v>5</v>
      </c>
      <c r="L36" s="17">
        <f t="shared" si="0"/>
        <v>500</v>
      </c>
      <c r="M36" s="15" t="s">
        <v>597</v>
      </c>
    </row>
    <row r="37" spans="1:13">
      <c r="A37" s="7">
        <v>33</v>
      </c>
      <c r="B37" s="7"/>
      <c r="C37" s="7" t="s">
        <v>257</v>
      </c>
      <c r="D37" s="8" t="s">
        <v>754</v>
      </c>
      <c r="E37" s="7">
        <v>1</v>
      </c>
      <c r="F37" s="7" t="str">
        <f>IFERROR(INDEX(Categories!$B$5:$B$27,MATCH(E37,Categories!$A$5:$A$27,0)),"")</f>
        <v>Accessibility</v>
      </c>
      <c r="G37" s="7" t="s">
        <v>861</v>
      </c>
      <c r="H37" s="7" t="s">
        <v>97</v>
      </c>
      <c r="I37" s="7" t="s">
        <v>98</v>
      </c>
      <c r="J37" s="13">
        <f>IFERROR(INDEX(Rates!$D$6:$D$15,MATCH(H37&amp;"|"&amp;I37,Rates!$C$6:$C$15,0)),0)</f>
        <v>100</v>
      </c>
      <c r="K37" s="14">
        <v>5</v>
      </c>
      <c r="L37" s="13">
        <f t="shared" ref="L37:L68" si="1">K37*J37</f>
        <v>500</v>
      </c>
      <c r="M37" s="7" t="s">
        <v>687</v>
      </c>
    </row>
    <row r="38" spans="1:13">
      <c r="A38" s="15">
        <v>34</v>
      </c>
      <c r="B38" s="15"/>
      <c r="C38" s="15" t="s">
        <v>616</v>
      </c>
      <c r="D38" s="16" t="s">
        <v>279</v>
      </c>
      <c r="E38" s="15">
        <v>2</v>
      </c>
      <c r="F38" s="15" t="str">
        <f>IFERROR(INDEX(Categories!$B$5:$B$27,MATCH(E38,Categories!$A$5:$A$27,0)),"")</f>
        <v>Backend</v>
      </c>
      <c r="G38" s="15" t="s">
        <v>862</v>
      </c>
      <c r="H38" s="15" t="s">
        <v>97</v>
      </c>
      <c r="I38" s="15" t="s">
        <v>98</v>
      </c>
      <c r="J38" s="17">
        <f>IFERROR(INDEX(Rates!$D$6:$D$15,MATCH(H38&amp;"|"&amp;I38,Rates!$C$6:$C$15,0)),0)</f>
        <v>100</v>
      </c>
      <c r="K38" s="18">
        <v>4</v>
      </c>
      <c r="L38" s="17">
        <f t="shared" si="1"/>
        <v>400</v>
      </c>
      <c r="M38" s="15" t="s">
        <v>863</v>
      </c>
    </row>
    <row r="39" spans="1:13">
      <c r="A39" s="7">
        <v>35</v>
      </c>
      <c r="B39" s="7"/>
      <c r="C39" s="7" t="s">
        <v>616</v>
      </c>
      <c r="D39" s="8" t="s">
        <v>283</v>
      </c>
      <c r="E39" s="7">
        <v>2</v>
      </c>
      <c r="F39" s="7" t="str">
        <f>IFERROR(INDEX(Categories!$B$5:$B$27,MATCH(E39,Categories!$A$5:$A$27,0)),"")</f>
        <v>Backend</v>
      </c>
      <c r="G39" s="7" t="s">
        <v>864</v>
      </c>
      <c r="H39" s="7" t="s">
        <v>97</v>
      </c>
      <c r="I39" s="7" t="s">
        <v>98</v>
      </c>
      <c r="J39" s="13">
        <f>IFERROR(INDEX(Rates!$D$6:$D$15,MATCH(H39&amp;"|"&amp;I39,Rates!$C$6:$C$15,0)),0)</f>
        <v>100</v>
      </c>
      <c r="K39" s="14">
        <v>4</v>
      </c>
      <c r="L39" s="13">
        <f t="shared" si="1"/>
        <v>400</v>
      </c>
      <c r="M39" s="7" t="s">
        <v>285</v>
      </c>
    </row>
    <row r="40" spans="1:13">
      <c r="A40" s="15">
        <v>36</v>
      </c>
      <c r="B40" s="15"/>
      <c r="C40" s="15" t="s">
        <v>616</v>
      </c>
      <c r="D40" s="16" t="s">
        <v>760</v>
      </c>
      <c r="E40" s="15">
        <v>2</v>
      </c>
      <c r="F40" s="15" t="str">
        <f>IFERROR(INDEX(Categories!$B$5:$B$27,MATCH(E40,Categories!$A$5:$A$27,0)),"")</f>
        <v>Backend</v>
      </c>
      <c r="G40" s="15" t="s">
        <v>865</v>
      </c>
      <c r="H40" s="15" t="s">
        <v>97</v>
      </c>
      <c r="I40" s="15" t="s">
        <v>98</v>
      </c>
      <c r="J40" s="17">
        <f>IFERROR(INDEX(Rates!$D$6:$D$15,MATCH(H40&amp;"|"&amp;I40,Rates!$C$6:$C$15,0)),0)</f>
        <v>100</v>
      </c>
      <c r="K40" s="18">
        <v>6</v>
      </c>
      <c r="L40" s="17">
        <f t="shared" si="1"/>
        <v>600</v>
      </c>
      <c r="M40" s="15" t="s">
        <v>288</v>
      </c>
    </row>
    <row r="41" spans="1:13">
      <c r="A41" s="7">
        <v>37</v>
      </c>
      <c r="B41" s="7"/>
      <c r="C41" s="7" t="s">
        <v>68</v>
      </c>
      <c r="D41" s="8" t="s">
        <v>295</v>
      </c>
      <c r="E41" s="7">
        <v>12</v>
      </c>
      <c r="F41" s="7" t="str">
        <f>IFERROR(INDEX(Categories!$B$5:$B$27,MATCH(E41,Categories!$A$5:$A$27,0)),"")</f>
        <v>E-Commerce</v>
      </c>
      <c r="G41" s="7" t="s">
        <v>866</v>
      </c>
      <c r="H41" s="7" t="s">
        <v>97</v>
      </c>
      <c r="I41" s="7" t="s">
        <v>98</v>
      </c>
      <c r="J41" s="13">
        <f>IFERROR(INDEX(Rates!$D$6:$D$15,MATCH(H41&amp;"|"&amp;I41,Rates!$C$6:$C$15,0)),0)</f>
        <v>100</v>
      </c>
      <c r="K41" s="14">
        <v>4</v>
      </c>
      <c r="L41" s="13">
        <f t="shared" si="1"/>
        <v>400</v>
      </c>
      <c r="M41" s="7"/>
    </row>
    <row r="42" spans="1:13" ht="25.5">
      <c r="A42" s="15">
        <v>38</v>
      </c>
      <c r="B42" s="15"/>
      <c r="C42" s="15" t="s">
        <v>68</v>
      </c>
      <c r="D42" s="16" t="s">
        <v>297</v>
      </c>
      <c r="E42" s="15">
        <v>12</v>
      </c>
      <c r="F42" s="15" t="str">
        <f>IFERROR(INDEX(Categories!$B$5:$B$27,MATCH(E42,Categories!$A$5:$A$27,0)),"")</f>
        <v>E-Commerce</v>
      </c>
      <c r="G42" s="15" t="s">
        <v>298</v>
      </c>
      <c r="H42" s="15" t="s">
        <v>100</v>
      </c>
      <c r="I42" s="15" t="s">
        <v>98</v>
      </c>
      <c r="J42" s="17">
        <f>IFERROR(INDEX(Rates!$D$6:$D$15,MATCH(H42&amp;"|"&amp;I42,Rates!$C$6:$C$15,0)),0)</f>
        <v>100</v>
      </c>
      <c r="K42" s="18">
        <v>3</v>
      </c>
      <c r="L42" s="17">
        <f t="shared" si="1"/>
        <v>300</v>
      </c>
      <c r="M42" s="15" t="s">
        <v>645</v>
      </c>
    </row>
    <row r="43" spans="1:13" ht="25.5">
      <c r="A43" s="7">
        <v>39</v>
      </c>
      <c r="B43" s="7"/>
      <c r="C43" s="7" t="s">
        <v>68</v>
      </c>
      <c r="D43" s="8" t="s">
        <v>623</v>
      </c>
      <c r="E43" s="7">
        <v>12</v>
      </c>
      <c r="F43" s="7" t="str">
        <f>IFERROR(INDEX(Categories!$B$5:$B$27,MATCH(E43,Categories!$A$5:$A$27,0)),"")</f>
        <v>E-Commerce</v>
      </c>
      <c r="G43" s="7" t="s">
        <v>867</v>
      </c>
      <c r="H43" s="7" t="s">
        <v>97</v>
      </c>
      <c r="I43" s="7" t="s">
        <v>98</v>
      </c>
      <c r="J43" s="13">
        <f>IFERROR(INDEX(Rates!$D$6:$D$15,MATCH(H43&amp;"|"&amp;I43,Rates!$C$6:$C$15,0)),0)</f>
        <v>100</v>
      </c>
      <c r="K43" s="14">
        <v>5</v>
      </c>
      <c r="L43" s="13">
        <f t="shared" si="1"/>
        <v>500</v>
      </c>
      <c r="M43" s="7" t="s">
        <v>625</v>
      </c>
    </row>
    <row r="44" spans="1:13">
      <c r="A44" s="15">
        <v>40</v>
      </c>
      <c r="B44" s="15"/>
      <c r="C44" s="15" t="s">
        <v>68</v>
      </c>
      <c r="D44" s="16" t="s">
        <v>868</v>
      </c>
      <c r="E44" s="15">
        <v>12</v>
      </c>
      <c r="F44" s="15" t="str">
        <f>IFERROR(INDEX(Categories!$B$5:$B$27,MATCH(E44,Categories!$A$5:$A$27,0)),"")</f>
        <v>E-Commerce</v>
      </c>
      <c r="G44" s="15" t="s">
        <v>869</v>
      </c>
      <c r="H44" s="15" t="s">
        <v>97</v>
      </c>
      <c r="I44" s="15" t="s">
        <v>98</v>
      </c>
      <c r="J44" s="17">
        <f>IFERROR(INDEX(Rates!$D$6:$D$15,MATCH(H44&amp;"|"&amp;I44,Rates!$C$6:$C$15,0)),0)</f>
        <v>100</v>
      </c>
      <c r="K44" s="18">
        <v>4</v>
      </c>
      <c r="L44" s="17">
        <f t="shared" si="1"/>
        <v>400</v>
      </c>
      <c r="M44" s="15"/>
    </row>
    <row r="45" spans="1:13">
      <c r="A45" s="7">
        <v>41</v>
      </c>
      <c r="B45" s="7"/>
      <c r="C45" s="7" t="s">
        <v>68</v>
      </c>
      <c r="D45" s="8" t="s">
        <v>626</v>
      </c>
      <c r="E45" s="7">
        <v>12</v>
      </c>
      <c r="F45" s="7" t="str">
        <f>IFERROR(INDEX(Categories!$B$5:$B$27,MATCH(E45,Categories!$A$5:$A$27,0)),"")</f>
        <v>E-Commerce</v>
      </c>
      <c r="G45" s="7" t="s">
        <v>870</v>
      </c>
      <c r="H45" s="7" t="s">
        <v>97</v>
      </c>
      <c r="I45" s="7" t="s">
        <v>98</v>
      </c>
      <c r="J45" s="13">
        <f>IFERROR(INDEX(Rates!$D$6:$D$15,MATCH(H45&amp;"|"&amp;I45,Rates!$C$6:$C$15,0)),0)</f>
        <v>100</v>
      </c>
      <c r="K45" s="14">
        <v>5</v>
      </c>
      <c r="L45" s="13">
        <f t="shared" si="1"/>
        <v>500</v>
      </c>
      <c r="M45" s="7"/>
    </row>
    <row r="46" spans="1:13">
      <c r="A46" s="15">
        <v>42</v>
      </c>
      <c r="B46" s="15"/>
      <c r="C46" s="15" t="s">
        <v>68</v>
      </c>
      <c r="D46" s="16" t="s">
        <v>871</v>
      </c>
      <c r="E46" s="15">
        <v>12</v>
      </c>
      <c r="F46" s="15" t="str">
        <f>IFERROR(INDEX(Categories!$B$5:$B$27,MATCH(E46,Categories!$A$5:$A$27,0)),"")</f>
        <v>E-Commerce</v>
      </c>
      <c r="G46" s="15" t="s">
        <v>872</v>
      </c>
      <c r="H46" s="15" t="s">
        <v>97</v>
      </c>
      <c r="I46" s="15" t="s">
        <v>98</v>
      </c>
      <c r="J46" s="17">
        <f>IFERROR(INDEX(Rates!$D$6:$D$15,MATCH(H46&amp;"|"&amp;I46,Rates!$C$6:$C$15,0)),0)</f>
        <v>100</v>
      </c>
      <c r="K46" s="18">
        <v>4</v>
      </c>
      <c r="L46" s="17">
        <f t="shared" si="1"/>
        <v>400</v>
      </c>
      <c r="M46" s="15" t="s">
        <v>873</v>
      </c>
    </row>
    <row r="47" spans="1:13">
      <c r="A47" s="7">
        <v>43</v>
      </c>
      <c r="B47" s="7"/>
      <c r="C47" s="7" t="s">
        <v>68</v>
      </c>
      <c r="D47" s="8" t="s">
        <v>632</v>
      </c>
      <c r="E47" s="7">
        <v>12</v>
      </c>
      <c r="F47" s="7" t="str">
        <f>IFERROR(INDEX(Categories!$B$5:$B$27,MATCH(E47,Categories!$A$5:$A$27,0)),"")</f>
        <v>E-Commerce</v>
      </c>
      <c r="G47" s="7" t="s">
        <v>874</v>
      </c>
      <c r="H47" s="7" t="s">
        <v>97</v>
      </c>
      <c r="I47" s="7" t="s">
        <v>98</v>
      </c>
      <c r="J47" s="13">
        <f>IFERROR(INDEX(Rates!$D$6:$D$15,MATCH(H47&amp;"|"&amp;I47,Rates!$C$6:$C$15,0)),0)</f>
        <v>100</v>
      </c>
      <c r="K47" s="14">
        <v>3</v>
      </c>
      <c r="L47" s="13">
        <f t="shared" si="1"/>
        <v>300</v>
      </c>
      <c r="M47" s="7" t="s">
        <v>634</v>
      </c>
    </row>
    <row r="48" spans="1:13">
      <c r="A48" s="15">
        <v>44</v>
      </c>
      <c r="B48" s="15"/>
      <c r="C48" s="15" t="s">
        <v>68</v>
      </c>
      <c r="D48" s="16" t="s">
        <v>635</v>
      </c>
      <c r="E48" s="15">
        <v>12</v>
      </c>
      <c r="F48" s="15" t="str">
        <f>IFERROR(INDEX(Categories!$B$5:$B$27,MATCH(E48,Categories!$A$5:$A$27,0)),"")</f>
        <v>E-Commerce</v>
      </c>
      <c r="G48" s="15" t="s">
        <v>875</v>
      </c>
      <c r="H48" s="15" t="s">
        <v>97</v>
      </c>
      <c r="I48" s="15" t="s">
        <v>98</v>
      </c>
      <c r="J48" s="17">
        <f>IFERROR(INDEX(Rates!$D$6:$D$15,MATCH(H48&amp;"|"&amp;I48,Rates!$C$6:$C$15,0)),0)</f>
        <v>100</v>
      </c>
      <c r="K48" s="18">
        <v>3</v>
      </c>
      <c r="L48" s="17">
        <f t="shared" si="1"/>
        <v>300</v>
      </c>
      <c r="M48" s="15" t="s">
        <v>637</v>
      </c>
    </row>
    <row r="49" spans="1:13">
      <c r="A49" s="7">
        <v>45</v>
      </c>
      <c r="B49" s="7"/>
      <c r="C49" s="7" t="s">
        <v>68</v>
      </c>
      <c r="D49" s="8" t="s">
        <v>876</v>
      </c>
      <c r="E49" s="7">
        <v>12</v>
      </c>
      <c r="F49" s="7" t="str">
        <f>IFERROR(INDEX(Categories!$B$5:$B$27,MATCH(E49,Categories!$A$5:$A$27,0)),"")</f>
        <v>E-Commerce</v>
      </c>
      <c r="G49" s="7" t="s">
        <v>877</v>
      </c>
      <c r="H49" s="7" t="s">
        <v>97</v>
      </c>
      <c r="I49" s="7" t="s">
        <v>98</v>
      </c>
      <c r="J49" s="13">
        <f>IFERROR(INDEX(Rates!$D$6:$D$15,MATCH(H49&amp;"|"&amp;I49,Rates!$C$6:$C$15,0)),0)</f>
        <v>100</v>
      </c>
      <c r="K49" s="14">
        <v>2</v>
      </c>
      <c r="L49" s="13">
        <f t="shared" si="1"/>
        <v>200</v>
      </c>
      <c r="M49" s="7" t="s">
        <v>640</v>
      </c>
    </row>
    <row r="50" spans="1:13" ht="25.5">
      <c r="A50" s="15">
        <v>46</v>
      </c>
      <c r="B50" s="15"/>
      <c r="C50" s="15" t="s">
        <v>878</v>
      </c>
      <c r="D50" s="16" t="s">
        <v>879</v>
      </c>
      <c r="E50" s="15">
        <v>14</v>
      </c>
      <c r="F50" s="15" t="str">
        <f>IFERROR(INDEX(Categories!$B$5:$B$27,MATCH(E50,Categories!$A$5:$A$27,0)),"")</f>
        <v>Frontend</v>
      </c>
      <c r="G50" s="15" t="s">
        <v>880</v>
      </c>
      <c r="H50" s="15" t="s">
        <v>97</v>
      </c>
      <c r="I50" s="15" t="s">
        <v>99</v>
      </c>
      <c r="J50" s="17">
        <f>IFERROR(INDEX(Rates!$D$6:$D$15,MATCH(H50&amp;"|"&amp;I50,Rates!$C$6:$C$15,0)),0)</f>
        <v>120</v>
      </c>
      <c r="K50" s="18">
        <v>8</v>
      </c>
      <c r="L50" s="17">
        <f t="shared" si="1"/>
        <v>960</v>
      </c>
      <c r="M50" s="15" t="s">
        <v>881</v>
      </c>
    </row>
    <row r="51" spans="1:13" ht="25.5">
      <c r="A51" s="7">
        <v>47</v>
      </c>
      <c r="B51" s="7"/>
      <c r="C51" s="7" t="s">
        <v>878</v>
      </c>
      <c r="D51" s="8" t="s">
        <v>882</v>
      </c>
      <c r="E51" s="7">
        <v>14</v>
      </c>
      <c r="F51" s="7" t="str">
        <f>IFERROR(INDEX(Categories!$B$5:$B$27,MATCH(E51,Categories!$A$5:$A$27,0)),"")</f>
        <v>Frontend</v>
      </c>
      <c r="G51" s="7" t="s">
        <v>883</v>
      </c>
      <c r="H51" s="7" t="s">
        <v>97</v>
      </c>
      <c r="I51" s="7" t="s">
        <v>99</v>
      </c>
      <c r="J51" s="13">
        <f>IFERROR(INDEX(Rates!$D$6:$D$15,MATCH(H51&amp;"|"&amp;I51,Rates!$C$6:$C$15,0)),0)</f>
        <v>120</v>
      </c>
      <c r="K51" s="14">
        <v>12</v>
      </c>
      <c r="L51" s="13">
        <f t="shared" si="1"/>
        <v>1440</v>
      </c>
      <c r="M51" s="7" t="s">
        <v>884</v>
      </c>
    </row>
    <row r="52" spans="1:13">
      <c r="A52" s="15">
        <v>48</v>
      </c>
      <c r="B52" s="15"/>
      <c r="C52" s="15" t="s">
        <v>878</v>
      </c>
      <c r="D52" s="16" t="s">
        <v>885</v>
      </c>
      <c r="E52" s="15">
        <v>14</v>
      </c>
      <c r="F52" s="15" t="str">
        <f>IFERROR(INDEX(Categories!$B$5:$B$27,MATCH(E52,Categories!$A$5:$A$27,0)),"")</f>
        <v>Frontend</v>
      </c>
      <c r="G52" s="15" t="s">
        <v>886</v>
      </c>
      <c r="H52" s="15" t="s">
        <v>97</v>
      </c>
      <c r="I52" s="15" t="s">
        <v>99</v>
      </c>
      <c r="J52" s="17">
        <f>IFERROR(INDEX(Rates!$D$6:$D$15,MATCH(H52&amp;"|"&amp;I52,Rates!$C$6:$C$15,0)),0)</f>
        <v>120</v>
      </c>
      <c r="K52" s="18">
        <v>8</v>
      </c>
      <c r="L52" s="17">
        <f t="shared" si="1"/>
        <v>960</v>
      </c>
      <c r="M52" s="15" t="s">
        <v>887</v>
      </c>
    </row>
    <row r="53" spans="1:13">
      <c r="A53" s="7">
        <v>49</v>
      </c>
      <c r="B53" s="7"/>
      <c r="C53" s="7" t="s">
        <v>878</v>
      </c>
      <c r="D53" s="8" t="s">
        <v>888</v>
      </c>
      <c r="E53" s="7">
        <v>14</v>
      </c>
      <c r="F53" s="7" t="str">
        <f>IFERROR(INDEX(Categories!$B$5:$B$27,MATCH(E53,Categories!$A$5:$A$27,0)),"")</f>
        <v>Frontend</v>
      </c>
      <c r="G53" s="7" t="s">
        <v>889</v>
      </c>
      <c r="H53" s="7" t="s">
        <v>97</v>
      </c>
      <c r="I53" s="7" t="s">
        <v>99</v>
      </c>
      <c r="J53" s="13">
        <f>IFERROR(INDEX(Rates!$D$6:$D$15,MATCH(H53&amp;"|"&amp;I53,Rates!$C$6:$C$15,0)),0)</f>
        <v>120</v>
      </c>
      <c r="K53" s="14">
        <v>10</v>
      </c>
      <c r="L53" s="13">
        <f t="shared" si="1"/>
        <v>1200</v>
      </c>
      <c r="M53" s="7" t="s">
        <v>890</v>
      </c>
    </row>
    <row r="54" spans="1:13" ht="25.5">
      <c r="A54" s="15">
        <v>50</v>
      </c>
      <c r="B54" s="15"/>
      <c r="C54" s="15" t="s">
        <v>681</v>
      </c>
      <c r="D54" s="16" t="s">
        <v>682</v>
      </c>
      <c r="E54" s="15">
        <v>18</v>
      </c>
      <c r="F54" s="15" t="str">
        <f>IFERROR(INDEX(Categories!$B$5:$B$27,MATCH(E54,Categories!$A$5:$A$27,0)),"")</f>
        <v>Performance &amp; Security</v>
      </c>
      <c r="G54" s="15" t="s">
        <v>891</v>
      </c>
      <c r="H54" s="15" t="s">
        <v>97</v>
      </c>
      <c r="I54" s="15" t="s">
        <v>98</v>
      </c>
      <c r="J54" s="17">
        <f>IFERROR(INDEX(Rates!$D$6:$D$15,MATCH(H54&amp;"|"&amp;I54,Rates!$C$6:$C$15,0)),0)</f>
        <v>100</v>
      </c>
      <c r="K54" s="18">
        <v>4</v>
      </c>
      <c r="L54" s="17">
        <f t="shared" si="1"/>
        <v>400</v>
      </c>
      <c r="M54" s="15" t="s">
        <v>892</v>
      </c>
    </row>
    <row r="55" spans="1:13" ht="25.5">
      <c r="A55" s="7">
        <v>51</v>
      </c>
      <c r="B55" s="7"/>
      <c r="C55" s="7" t="s">
        <v>788</v>
      </c>
      <c r="D55" s="8" t="s">
        <v>420</v>
      </c>
      <c r="E55" s="7">
        <v>4</v>
      </c>
      <c r="F55" s="7" t="str">
        <f>IFERROR(INDEX(Categories!$B$5:$B$27,MATCH(E55,Categories!$A$5:$A$27,0)),"")</f>
        <v>Conversion Tracking</v>
      </c>
      <c r="G55" s="7" t="s">
        <v>789</v>
      </c>
      <c r="H55" s="7" t="s">
        <v>97</v>
      </c>
      <c r="I55" s="7" t="s">
        <v>98</v>
      </c>
      <c r="J55" s="13">
        <f>IFERROR(INDEX(Rates!$D$6:$D$15,MATCH(H55&amp;"|"&amp;I55,Rates!$C$6:$C$15,0)),0)</f>
        <v>100</v>
      </c>
      <c r="K55" s="14">
        <v>2</v>
      </c>
      <c r="L55" s="13">
        <f t="shared" si="1"/>
        <v>200</v>
      </c>
      <c r="M55" s="7" t="s">
        <v>422</v>
      </c>
    </row>
    <row r="56" spans="1:13">
      <c r="A56" s="15">
        <v>52</v>
      </c>
      <c r="B56" s="15"/>
      <c r="C56" s="15" t="s">
        <v>788</v>
      </c>
      <c r="D56" s="16" t="s">
        <v>423</v>
      </c>
      <c r="E56" s="15">
        <v>4</v>
      </c>
      <c r="F56" s="15" t="str">
        <f>IFERROR(INDEX(Categories!$B$5:$B$27,MATCH(E56,Categories!$A$5:$A$27,0)),"")</f>
        <v>Conversion Tracking</v>
      </c>
      <c r="G56" s="15" t="s">
        <v>790</v>
      </c>
      <c r="H56" s="15" t="s">
        <v>97</v>
      </c>
      <c r="I56" s="15" t="s">
        <v>98</v>
      </c>
      <c r="J56" s="17">
        <f>IFERROR(INDEX(Rates!$D$6:$D$15,MATCH(H56&amp;"|"&amp;I56,Rates!$C$6:$C$15,0)),0)</f>
        <v>100</v>
      </c>
      <c r="K56" s="18">
        <v>3</v>
      </c>
      <c r="L56" s="17">
        <f t="shared" si="1"/>
        <v>300</v>
      </c>
      <c r="M56" s="15" t="s">
        <v>425</v>
      </c>
    </row>
    <row r="57" spans="1:13">
      <c r="A57" s="7">
        <v>53</v>
      </c>
      <c r="B57" s="7"/>
      <c r="C57" s="7" t="s">
        <v>788</v>
      </c>
      <c r="D57" s="8" t="s">
        <v>52</v>
      </c>
      <c r="E57" s="7">
        <v>4</v>
      </c>
      <c r="F57" s="7" t="str">
        <f>IFERROR(INDEX(Categories!$B$5:$B$27,MATCH(E57,Categories!$A$5:$A$27,0)),"")</f>
        <v>Conversion Tracking</v>
      </c>
      <c r="G57" s="7" t="s">
        <v>791</v>
      </c>
      <c r="H57" s="7" t="s">
        <v>97</v>
      </c>
      <c r="I57" s="7" t="s">
        <v>98</v>
      </c>
      <c r="J57" s="13">
        <f>IFERROR(INDEX(Rates!$D$6:$D$15,MATCH(H57&amp;"|"&amp;I57,Rates!$C$6:$C$15,0)),0)</f>
        <v>100</v>
      </c>
      <c r="K57" s="14">
        <v>5</v>
      </c>
      <c r="L57" s="13">
        <f t="shared" si="1"/>
        <v>500</v>
      </c>
      <c r="M57" s="7" t="s">
        <v>792</v>
      </c>
    </row>
    <row r="58" spans="1:13">
      <c r="A58" s="15">
        <v>54</v>
      </c>
      <c r="B58" s="15"/>
      <c r="C58" s="15" t="s">
        <v>793</v>
      </c>
      <c r="D58" s="16" t="s">
        <v>429</v>
      </c>
      <c r="E58" s="15">
        <v>22</v>
      </c>
      <c r="F58" s="15" t="str">
        <f>IFERROR(INDEX(Categories!$B$5:$B$27,MATCH(E58,Categories!$A$5:$A$27,0)),"")</f>
        <v>SEO &amp; Content</v>
      </c>
      <c r="G58" s="15" t="s">
        <v>794</v>
      </c>
      <c r="H58" s="15" t="s">
        <v>97</v>
      </c>
      <c r="I58" s="15" t="s">
        <v>98</v>
      </c>
      <c r="J58" s="17">
        <f>IFERROR(INDEX(Rates!$D$6:$D$15,MATCH(H58&amp;"|"&amp;I58,Rates!$C$6:$C$15,0)),0)</f>
        <v>100</v>
      </c>
      <c r="K58" s="18">
        <v>2</v>
      </c>
      <c r="L58" s="17">
        <f t="shared" si="1"/>
        <v>200</v>
      </c>
      <c r="M58" s="15" t="s">
        <v>432</v>
      </c>
    </row>
    <row r="59" spans="1:13">
      <c r="A59" s="7">
        <v>55</v>
      </c>
      <c r="B59" s="7"/>
      <c r="C59" s="7" t="s">
        <v>793</v>
      </c>
      <c r="D59" s="8" t="s">
        <v>795</v>
      </c>
      <c r="E59" s="7">
        <v>22</v>
      </c>
      <c r="F59" s="7" t="str">
        <f>IFERROR(INDEX(Categories!$B$5:$B$27,MATCH(E59,Categories!$A$5:$A$27,0)),"")</f>
        <v>SEO &amp; Content</v>
      </c>
      <c r="G59" s="7" t="s">
        <v>796</v>
      </c>
      <c r="H59" s="7" t="s">
        <v>97</v>
      </c>
      <c r="I59" s="7" t="s">
        <v>98</v>
      </c>
      <c r="J59" s="13">
        <f>IFERROR(INDEX(Rates!$D$6:$D$15,MATCH(H59&amp;"|"&amp;I59,Rates!$C$6:$C$15,0)),0)</f>
        <v>100</v>
      </c>
      <c r="K59" s="14">
        <v>1</v>
      </c>
      <c r="L59" s="13">
        <f t="shared" si="1"/>
        <v>100</v>
      </c>
      <c r="M59" s="7"/>
    </row>
    <row r="60" spans="1:13" ht="25.5">
      <c r="A60" s="15">
        <v>56</v>
      </c>
      <c r="B60" s="15"/>
      <c r="C60" s="15" t="s">
        <v>793</v>
      </c>
      <c r="D60" s="16" t="s">
        <v>436</v>
      </c>
      <c r="E60" s="15">
        <v>22</v>
      </c>
      <c r="F60" s="15" t="str">
        <f>IFERROR(INDEX(Categories!$B$5:$B$27,MATCH(E60,Categories!$A$5:$A$27,0)),"")</f>
        <v>SEO &amp; Content</v>
      </c>
      <c r="G60" s="15" t="s">
        <v>663</v>
      </c>
      <c r="H60" s="15" t="s">
        <v>97</v>
      </c>
      <c r="I60" s="15" t="s">
        <v>98</v>
      </c>
      <c r="J60" s="17">
        <f>IFERROR(INDEX(Rates!$D$6:$D$15,MATCH(H60&amp;"|"&amp;I60,Rates!$C$6:$C$15,0)),0)</f>
        <v>100</v>
      </c>
      <c r="K60" s="18">
        <v>2</v>
      </c>
      <c r="L60" s="17">
        <f t="shared" si="1"/>
        <v>200</v>
      </c>
      <c r="M60" s="15" t="s">
        <v>438</v>
      </c>
    </row>
    <row r="61" spans="1:13" ht="25.5">
      <c r="A61" s="7">
        <v>57</v>
      </c>
      <c r="B61" s="7"/>
      <c r="C61" s="7" t="s">
        <v>798</v>
      </c>
      <c r="D61" s="8" t="s">
        <v>799</v>
      </c>
      <c r="E61" s="7">
        <v>22</v>
      </c>
      <c r="F61" s="7" t="str">
        <f>IFERROR(INDEX(Categories!$B$5:$B$27,MATCH(E61,Categories!$A$5:$A$27,0)),"")</f>
        <v>SEO &amp; Content</v>
      </c>
      <c r="G61" s="7" t="s">
        <v>800</v>
      </c>
      <c r="H61" s="7" t="s">
        <v>97</v>
      </c>
      <c r="I61" s="7" t="s">
        <v>98</v>
      </c>
      <c r="J61" s="13">
        <f>IFERROR(INDEX(Rates!$D$6:$D$15,MATCH(H61&amp;"|"&amp;I61,Rates!$C$6:$C$15,0)),0)</f>
        <v>100</v>
      </c>
      <c r="K61" s="14">
        <v>2</v>
      </c>
      <c r="L61" s="13">
        <f t="shared" si="1"/>
        <v>200</v>
      </c>
      <c r="M61" s="7" t="s">
        <v>441</v>
      </c>
    </row>
    <row r="62" spans="1:13">
      <c r="A62" s="15">
        <v>58</v>
      </c>
      <c r="B62" s="15"/>
      <c r="C62" s="15" t="s">
        <v>798</v>
      </c>
      <c r="D62" s="16" t="s">
        <v>801</v>
      </c>
      <c r="E62" s="15">
        <v>24</v>
      </c>
      <c r="F62" s="15" t="str">
        <f>IFERROR(INDEX(Categories!$B$5:$B$27,MATCH(E62,Categories!$A$5:$A$27,0)),"")</f>
        <v>SEO on-page</v>
      </c>
      <c r="G62" s="15" t="s">
        <v>893</v>
      </c>
      <c r="H62" s="15" t="s">
        <v>97</v>
      </c>
      <c r="I62" s="15" t="s">
        <v>98</v>
      </c>
      <c r="J62" s="17">
        <f>IFERROR(INDEX(Rates!$D$6:$D$15,MATCH(H62&amp;"|"&amp;I62,Rates!$C$6:$C$15,0)),0)</f>
        <v>100</v>
      </c>
      <c r="K62" s="18">
        <v>2</v>
      </c>
      <c r="L62" s="17">
        <f t="shared" si="1"/>
        <v>200</v>
      </c>
      <c r="M62" s="15" t="s">
        <v>803</v>
      </c>
    </row>
    <row r="63" spans="1:13" ht="25.5">
      <c r="A63" s="7">
        <v>59</v>
      </c>
      <c r="B63" s="7"/>
      <c r="C63" s="7" t="s">
        <v>798</v>
      </c>
      <c r="D63" s="8" t="s">
        <v>667</v>
      </c>
      <c r="E63" s="7">
        <v>24</v>
      </c>
      <c r="F63" s="7" t="str">
        <f>IFERROR(INDEX(Categories!$B$5:$B$27,MATCH(E63,Categories!$A$5:$A$27,0)),"")</f>
        <v>SEO on-page</v>
      </c>
      <c r="G63" s="7" t="s">
        <v>804</v>
      </c>
      <c r="H63" s="7" t="s">
        <v>97</v>
      </c>
      <c r="I63" s="7" t="s">
        <v>98</v>
      </c>
      <c r="J63" s="13">
        <f>IFERROR(INDEX(Rates!$D$6:$D$15,MATCH(H63&amp;"|"&amp;I63,Rates!$C$6:$C$15,0)),0)</f>
        <v>100</v>
      </c>
      <c r="K63" s="14">
        <v>0</v>
      </c>
      <c r="L63" s="13">
        <f t="shared" si="1"/>
        <v>0</v>
      </c>
      <c r="M63" s="7" t="s">
        <v>669</v>
      </c>
    </row>
    <row r="64" spans="1:13">
      <c r="A64" s="15">
        <v>60</v>
      </c>
      <c r="B64" s="15"/>
      <c r="C64" s="15" t="s">
        <v>798</v>
      </c>
      <c r="D64" s="16" t="s">
        <v>673</v>
      </c>
      <c r="E64" s="15">
        <v>24</v>
      </c>
      <c r="F64" s="15" t="str">
        <f>IFERROR(INDEX(Categories!$B$5:$B$27,MATCH(E64,Categories!$A$5:$A$27,0)),"")</f>
        <v>SEO on-page</v>
      </c>
      <c r="G64" s="15" t="s">
        <v>894</v>
      </c>
      <c r="H64" s="15" t="s">
        <v>97</v>
      </c>
      <c r="I64" s="15" t="s">
        <v>98</v>
      </c>
      <c r="J64" s="17">
        <f>IFERROR(INDEX(Rates!$D$6:$D$15,MATCH(H64&amp;"|"&amp;I64,Rates!$C$6:$C$15,0)),0)</f>
        <v>100</v>
      </c>
      <c r="K64" s="18">
        <v>2</v>
      </c>
      <c r="L64" s="17">
        <f t="shared" si="1"/>
        <v>200</v>
      </c>
      <c r="M64" s="15" t="s">
        <v>675</v>
      </c>
    </row>
    <row r="65" spans="1:13">
      <c r="A65" s="7">
        <v>61</v>
      </c>
      <c r="B65" s="7"/>
      <c r="C65" s="7" t="s">
        <v>798</v>
      </c>
      <c r="D65" s="8" t="s">
        <v>806</v>
      </c>
      <c r="E65" s="7">
        <v>22</v>
      </c>
      <c r="F65" s="7" t="str">
        <f>IFERROR(INDEX(Categories!$B$5:$B$27,MATCH(E65,Categories!$A$5:$A$27,0)),"")</f>
        <v>SEO &amp; Content</v>
      </c>
      <c r="G65" s="7" t="s">
        <v>807</v>
      </c>
      <c r="H65" s="7" t="s">
        <v>100</v>
      </c>
      <c r="I65" s="7" t="s">
        <v>98</v>
      </c>
      <c r="J65" s="13">
        <f>IFERROR(INDEX(Rates!$D$6:$D$15,MATCH(H65&amp;"|"&amp;I65,Rates!$C$6:$C$15,0)),0)</f>
        <v>100</v>
      </c>
      <c r="K65" s="14">
        <v>3</v>
      </c>
      <c r="L65" s="13">
        <f t="shared" si="1"/>
        <v>300</v>
      </c>
      <c r="M65" s="7" t="s">
        <v>451</v>
      </c>
    </row>
    <row r="66" spans="1:13">
      <c r="A66" s="15">
        <v>62</v>
      </c>
      <c r="B66" s="15"/>
      <c r="C66" s="15" t="s">
        <v>70</v>
      </c>
      <c r="D66" s="16" t="s">
        <v>895</v>
      </c>
      <c r="E66" s="15">
        <v>13</v>
      </c>
      <c r="F66" s="15" t="str">
        <f>IFERROR(INDEX(Categories!$B$5:$B$27,MATCH(E66,Categories!$A$5:$A$27,0)),"")</f>
        <v>Environment Setup</v>
      </c>
      <c r="G66" s="15" t="s">
        <v>896</v>
      </c>
      <c r="H66" s="15" t="s">
        <v>97</v>
      </c>
      <c r="I66" s="15" t="s">
        <v>98</v>
      </c>
      <c r="J66" s="17">
        <f>IFERROR(INDEX(Rates!$D$6:$D$15,MATCH(H66&amp;"|"&amp;I66,Rates!$C$6:$C$15,0)),0)</f>
        <v>100</v>
      </c>
      <c r="K66" s="18">
        <v>2</v>
      </c>
      <c r="L66" s="17">
        <f t="shared" si="1"/>
        <v>200</v>
      </c>
      <c r="M66" s="15" t="s">
        <v>897</v>
      </c>
    </row>
    <row r="67" spans="1:13">
      <c r="A67" s="7">
        <v>63</v>
      </c>
      <c r="B67" s="7"/>
      <c r="C67" s="7" t="s">
        <v>70</v>
      </c>
      <c r="D67" s="8" t="s">
        <v>898</v>
      </c>
      <c r="E67" s="7">
        <v>13</v>
      </c>
      <c r="F67" s="7" t="str">
        <f>IFERROR(INDEX(Categories!$B$5:$B$27,MATCH(E67,Categories!$A$5:$A$27,0)),"")</f>
        <v>Environment Setup</v>
      </c>
      <c r="G67" s="7" t="s">
        <v>899</v>
      </c>
      <c r="H67" s="7" t="s">
        <v>97</v>
      </c>
      <c r="I67" s="7" t="s">
        <v>98</v>
      </c>
      <c r="J67" s="13">
        <f>IFERROR(INDEX(Rates!$D$6:$D$15,MATCH(H67&amp;"|"&amp;I67,Rates!$C$6:$C$15,0)),0)</f>
        <v>100</v>
      </c>
      <c r="K67" s="14">
        <v>4</v>
      </c>
      <c r="L67" s="13">
        <f t="shared" si="1"/>
        <v>400</v>
      </c>
      <c r="M67" s="7" t="s">
        <v>900</v>
      </c>
    </row>
    <row r="68" spans="1:13">
      <c r="A68" s="15">
        <v>64</v>
      </c>
      <c r="B68" s="15"/>
      <c r="C68" s="15" t="s">
        <v>70</v>
      </c>
      <c r="D68" s="16" t="s">
        <v>814</v>
      </c>
      <c r="E68" s="15">
        <v>13</v>
      </c>
      <c r="F68" s="15" t="str">
        <f>IFERROR(INDEX(Categories!$B$5:$B$27,MATCH(E68,Categories!$A$5:$A$27,0)),"")</f>
        <v>Environment Setup</v>
      </c>
      <c r="G68" s="15" t="s">
        <v>694</v>
      </c>
      <c r="H68" s="15" t="s">
        <v>97</v>
      </c>
      <c r="I68" s="15" t="s">
        <v>98</v>
      </c>
      <c r="J68" s="17">
        <f>IFERROR(INDEX(Rates!$D$6:$D$15,MATCH(H68&amp;"|"&amp;I68,Rates!$C$6:$C$15,0)),0)</f>
        <v>100</v>
      </c>
      <c r="K68" s="18">
        <v>2</v>
      </c>
      <c r="L68" s="17">
        <f t="shared" si="1"/>
        <v>200</v>
      </c>
      <c r="M68" s="15" t="s">
        <v>695</v>
      </c>
    </row>
    <row r="69" spans="1:13" ht="25.5">
      <c r="A69" s="7">
        <v>65</v>
      </c>
      <c r="B69" s="7"/>
      <c r="C69" s="7" t="s">
        <v>531</v>
      </c>
      <c r="D69" s="8" t="s">
        <v>815</v>
      </c>
      <c r="E69" s="7">
        <v>3</v>
      </c>
      <c r="F69" s="7" t="str">
        <f>IFERROR(INDEX(Categories!$B$5:$B$27,MATCH(E69,Categories!$A$5:$A$27,0)),"")</f>
        <v>CMS &amp; Content Prep</v>
      </c>
      <c r="G69" s="7" t="s">
        <v>816</v>
      </c>
      <c r="H69" s="7" t="s">
        <v>103</v>
      </c>
      <c r="I69" s="7" t="s">
        <v>98</v>
      </c>
      <c r="J69" s="13">
        <f>IFERROR(INDEX(Rates!$D$6:$D$15,MATCH(H69&amp;"|"&amp;I69,Rates!$C$6:$C$15,0)),0)</f>
        <v>0</v>
      </c>
      <c r="K69" s="14">
        <v>3</v>
      </c>
      <c r="L69" s="13">
        <f t="shared" ref="L69:L100" si="2">K69*J69</f>
        <v>0</v>
      </c>
      <c r="M69" s="7" t="s">
        <v>817</v>
      </c>
    </row>
    <row r="70" spans="1:13">
      <c r="A70" s="15">
        <v>66</v>
      </c>
      <c r="B70" s="15"/>
      <c r="C70" s="15" t="s">
        <v>531</v>
      </c>
      <c r="D70" s="16" t="s">
        <v>536</v>
      </c>
      <c r="E70" s="15">
        <v>3</v>
      </c>
      <c r="F70" s="15" t="str">
        <f>IFERROR(INDEX(Categories!$B$5:$B$27,MATCH(E70,Categories!$A$5:$A$27,0)),"")</f>
        <v>CMS &amp; Content Prep</v>
      </c>
      <c r="G70" s="15" t="s">
        <v>818</v>
      </c>
      <c r="H70" s="15" t="s">
        <v>97</v>
      </c>
      <c r="I70" s="15" t="s">
        <v>98</v>
      </c>
      <c r="J70" s="17">
        <f>IFERROR(INDEX(Rates!$D$6:$D$15,MATCH(H70&amp;"|"&amp;I70,Rates!$C$6:$C$15,0)),0)</f>
        <v>100</v>
      </c>
      <c r="K70" s="18">
        <v>2</v>
      </c>
      <c r="L70" s="17">
        <f t="shared" si="2"/>
        <v>200</v>
      </c>
      <c r="M70" s="15" t="s">
        <v>539</v>
      </c>
    </row>
    <row r="71" spans="1:13">
      <c r="A71" s="7">
        <v>67</v>
      </c>
      <c r="B71" s="7"/>
      <c r="C71" s="7" t="s">
        <v>496</v>
      </c>
      <c r="D71" s="8" t="s">
        <v>819</v>
      </c>
      <c r="E71" s="7">
        <v>25</v>
      </c>
      <c r="F71" s="7" t="str">
        <f>IFERROR(INDEX(Categories!$B$5:$B$27,MATCH(E71,Categories!$A$5:$A$27,0)),"")</f>
        <v>QA &amp; Testing</v>
      </c>
      <c r="G71" s="7" t="s">
        <v>901</v>
      </c>
      <c r="H71" s="7" t="s">
        <v>102</v>
      </c>
      <c r="I71" s="7" t="s">
        <v>98</v>
      </c>
      <c r="J71" s="13">
        <f>IFERROR(INDEX(Rates!$D$6:$D$15,MATCH(H71&amp;"|"&amp;I71,Rates!$C$6:$C$15,0)),0)</f>
        <v>80</v>
      </c>
      <c r="K71" s="14">
        <v>4</v>
      </c>
      <c r="L71" s="13">
        <f t="shared" si="2"/>
        <v>320</v>
      </c>
      <c r="M71" s="7" t="s">
        <v>700</v>
      </c>
    </row>
    <row r="72" spans="1:13">
      <c r="A72" s="15">
        <v>68</v>
      </c>
      <c r="B72" s="15"/>
      <c r="C72" s="15" t="s">
        <v>60</v>
      </c>
      <c r="D72" s="16" t="s">
        <v>821</v>
      </c>
      <c r="E72" s="15">
        <v>8</v>
      </c>
      <c r="F72" s="15" t="str">
        <f>IFERROR(INDEX(Categories!$B$5:$B$27,MATCH(E72,Categories!$A$5:$A$27,0)),"")</f>
        <v>Deployment</v>
      </c>
      <c r="G72" s="15" t="s">
        <v>902</v>
      </c>
      <c r="H72" s="15" t="s">
        <v>97</v>
      </c>
      <c r="I72" s="15" t="s">
        <v>98</v>
      </c>
      <c r="J72" s="17">
        <f>IFERROR(INDEX(Rates!$D$6:$D$15,MATCH(H72&amp;"|"&amp;I72,Rates!$C$6:$C$15,0)),0)</f>
        <v>100</v>
      </c>
      <c r="K72" s="18">
        <v>2</v>
      </c>
      <c r="L72" s="17">
        <f t="shared" si="2"/>
        <v>200</v>
      </c>
      <c r="M72" s="15" t="s">
        <v>703</v>
      </c>
    </row>
    <row r="73" spans="1:13">
      <c r="A73" s="7">
        <v>69</v>
      </c>
      <c r="B73" s="7"/>
      <c r="C73" s="7" t="s">
        <v>823</v>
      </c>
      <c r="D73" s="8" t="s">
        <v>824</v>
      </c>
      <c r="E73" s="7">
        <v>25</v>
      </c>
      <c r="F73" s="7" t="str">
        <f>IFERROR(INDEX(Categories!$B$5:$B$27,MATCH(E73,Categories!$A$5:$A$27,0)),"")</f>
        <v>QA &amp; Testing</v>
      </c>
      <c r="G73" s="7" t="s">
        <v>825</v>
      </c>
      <c r="H73" s="7" t="s">
        <v>102</v>
      </c>
      <c r="I73" s="7" t="s">
        <v>98</v>
      </c>
      <c r="J73" s="13">
        <f>IFERROR(INDEX(Rates!$D$6:$D$15,MATCH(H73&amp;"|"&amp;I73,Rates!$C$6:$C$15,0)),0)</f>
        <v>80</v>
      </c>
      <c r="K73" s="14">
        <v>4</v>
      </c>
      <c r="L73" s="13">
        <f t="shared" si="2"/>
        <v>320</v>
      </c>
      <c r="M73" s="7" t="s">
        <v>705</v>
      </c>
    </row>
    <row r="74" spans="1:13">
      <c r="A74" s="15">
        <v>70</v>
      </c>
      <c r="B74" s="15"/>
      <c r="C74" s="15" t="s">
        <v>823</v>
      </c>
      <c r="D74" s="16" t="s">
        <v>549</v>
      </c>
      <c r="E74" s="15">
        <v>4</v>
      </c>
      <c r="F74" s="15" t="str">
        <f>IFERROR(INDEX(Categories!$B$5:$B$27,MATCH(E74,Categories!$A$5:$A$27,0)),"")</f>
        <v>Conversion Tracking</v>
      </c>
      <c r="G74" s="15" t="s">
        <v>826</v>
      </c>
      <c r="H74" s="15" t="s">
        <v>102</v>
      </c>
      <c r="I74" s="15" t="s">
        <v>98</v>
      </c>
      <c r="J74" s="17">
        <f>IFERROR(INDEX(Rates!$D$6:$D$15,MATCH(H74&amp;"|"&amp;I74,Rates!$C$6:$C$15,0)),0)</f>
        <v>80</v>
      </c>
      <c r="K74" s="18">
        <v>2</v>
      </c>
      <c r="L74" s="17">
        <f t="shared" si="2"/>
        <v>160</v>
      </c>
      <c r="M74" s="15"/>
    </row>
    <row r="76" spans="1:13">
      <c r="D76" s="19" t="s">
        <v>552</v>
      </c>
      <c r="K76" s="20">
        <f>SUM(K5:K74)</f>
        <v>269</v>
      </c>
      <c r="L76" s="21">
        <f>SUM(L5:L74)</f>
        <v>27780</v>
      </c>
      <c r="M76" s="12" t="s">
        <v>553</v>
      </c>
    </row>
  </sheetData>
  <autoFilter ref="A4:M7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4"/>
  <sheetViews>
    <sheetView zoomScaleNormal="100" workbookViewId="0">
      <pane xSplit="4" ySplit="4" topLeftCell="E119" activePane="bottomRight" state="frozen"/>
      <selection pane="bottomRight"/>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903</v>
      </c>
    </row>
    <row r="2" spans="1:13">
      <c r="A2" s="2" t="s">
        <v>555</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2</v>
      </c>
      <c r="L5" s="13">
        <f t="shared" ref="L5:L36" si="0">K5*J5</f>
        <v>200</v>
      </c>
      <c r="M5" s="7"/>
    </row>
    <row r="6" spans="1:13" ht="25.5">
      <c r="A6" s="15">
        <v>2</v>
      </c>
      <c r="B6" s="15"/>
      <c r="C6" s="15" t="s">
        <v>111</v>
      </c>
      <c r="D6" s="16" t="s">
        <v>115</v>
      </c>
      <c r="E6" s="15">
        <v>14</v>
      </c>
      <c r="F6" s="15" t="str">
        <f>IFERROR(INDEX(Categories!$B$5:$B$27,MATCH(E6,Categories!$A$5:$A$27,0)),"")</f>
        <v>Frontend</v>
      </c>
      <c r="G6" s="15" t="s">
        <v>904</v>
      </c>
      <c r="H6" s="15" t="s">
        <v>97</v>
      </c>
      <c r="I6" s="15" t="s">
        <v>98</v>
      </c>
      <c r="J6" s="17">
        <f>IFERROR(INDEX(Rates!$D$6:$D$15,MATCH(H6&amp;"|"&amp;I6,Rates!$C$6:$C$15,0)),0)</f>
        <v>100</v>
      </c>
      <c r="K6" s="18">
        <v>3</v>
      </c>
      <c r="L6" s="17">
        <f t="shared" si="0"/>
        <v>300</v>
      </c>
      <c r="M6" s="15" t="s">
        <v>557</v>
      </c>
    </row>
    <row r="7" spans="1:13" ht="25.5">
      <c r="A7" s="7">
        <v>3</v>
      </c>
      <c r="B7" s="7"/>
      <c r="C7" s="7" t="s">
        <v>111</v>
      </c>
      <c r="D7" s="8" t="s">
        <v>905</v>
      </c>
      <c r="E7" s="7">
        <v>15</v>
      </c>
      <c r="F7" s="7" t="str">
        <f>IFERROR(INDEX(Categories!$B$5:$B$27,MATCH(E7,Categories!$A$5:$A$27,0)),"")</f>
        <v>Integration</v>
      </c>
      <c r="G7" s="7" t="s">
        <v>906</v>
      </c>
      <c r="H7" s="7" t="s">
        <v>97</v>
      </c>
      <c r="I7" s="7" t="s">
        <v>99</v>
      </c>
      <c r="J7" s="13">
        <f>IFERROR(INDEX(Rates!$D$6:$D$15,MATCH(H7&amp;"|"&amp;I7,Rates!$C$6:$C$15,0)),0)</f>
        <v>120</v>
      </c>
      <c r="K7" s="14">
        <v>8</v>
      </c>
      <c r="L7" s="13">
        <f t="shared" si="0"/>
        <v>960</v>
      </c>
      <c r="M7" s="7" t="s">
        <v>907</v>
      </c>
    </row>
    <row r="8" spans="1:13" ht="25.5">
      <c r="A8" s="15">
        <v>4</v>
      </c>
      <c r="B8" s="15"/>
      <c r="C8" s="15" t="s">
        <v>111</v>
      </c>
      <c r="D8" s="16" t="s">
        <v>558</v>
      </c>
      <c r="E8" s="15">
        <v>15</v>
      </c>
      <c r="F8" s="15" t="str">
        <f>IFERROR(INDEX(Categories!$B$5:$B$27,MATCH(E8,Categories!$A$5:$A$27,0)),"")</f>
        <v>Integration</v>
      </c>
      <c r="G8" s="15" t="s">
        <v>908</v>
      </c>
      <c r="H8" s="15" t="s">
        <v>97</v>
      </c>
      <c r="I8" s="15" t="s">
        <v>98</v>
      </c>
      <c r="J8" s="17">
        <f>IFERROR(INDEX(Rates!$D$6:$D$15,MATCH(H8&amp;"|"&amp;I8,Rates!$C$6:$C$15,0)),0)</f>
        <v>100</v>
      </c>
      <c r="K8" s="18">
        <v>3</v>
      </c>
      <c r="L8" s="17">
        <f t="shared" si="0"/>
        <v>300</v>
      </c>
      <c r="M8" s="15" t="s">
        <v>123</v>
      </c>
    </row>
    <row r="9" spans="1:13">
      <c r="A9" s="7">
        <v>5</v>
      </c>
      <c r="B9" s="7"/>
      <c r="C9" s="7" t="s">
        <v>111</v>
      </c>
      <c r="D9" s="8" t="s">
        <v>124</v>
      </c>
      <c r="E9" s="7">
        <v>14</v>
      </c>
      <c r="F9" s="7" t="str">
        <f>IFERROR(INDEX(Categories!$B$5:$B$27,MATCH(E9,Categories!$A$5:$A$27,0)),"")</f>
        <v>Frontend</v>
      </c>
      <c r="G9" s="7" t="s">
        <v>909</v>
      </c>
      <c r="H9" s="7" t="s">
        <v>97</v>
      </c>
      <c r="I9" s="7" t="s">
        <v>98</v>
      </c>
      <c r="J9" s="13">
        <f>IFERROR(INDEX(Rates!$D$6:$D$15,MATCH(H9&amp;"|"&amp;I9,Rates!$C$6:$C$15,0)),0)</f>
        <v>100</v>
      </c>
      <c r="K9" s="14">
        <v>1.5</v>
      </c>
      <c r="L9" s="13">
        <f t="shared" si="0"/>
        <v>150</v>
      </c>
      <c r="M9" s="7" t="s">
        <v>561</v>
      </c>
    </row>
    <row r="10" spans="1:13">
      <c r="A10" s="15">
        <v>6</v>
      </c>
      <c r="B10" s="15"/>
      <c r="C10" s="15" t="s">
        <v>111</v>
      </c>
      <c r="D10" s="16" t="s">
        <v>127</v>
      </c>
      <c r="E10" s="15">
        <v>14</v>
      </c>
      <c r="F10" s="15" t="str">
        <f>IFERROR(INDEX(Categories!$B$5:$B$27,MATCH(E10,Categories!$A$5:$A$27,0)),"")</f>
        <v>Frontend</v>
      </c>
      <c r="G10" s="15" t="s">
        <v>910</v>
      </c>
      <c r="H10" s="15" t="s">
        <v>97</v>
      </c>
      <c r="I10" s="15" t="s">
        <v>98</v>
      </c>
      <c r="J10" s="17">
        <f>IFERROR(INDEX(Rates!$D$6:$D$15,MATCH(H10&amp;"|"&amp;I10,Rates!$C$6:$C$15,0)),0)</f>
        <v>100</v>
      </c>
      <c r="K10" s="18">
        <v>1.5</v>
      </c>
      <c r="L10" s="17">
        <f t="shared" si="0"/>
        <v>150</v>
      </c>
      <c r="M10" s="15" t="s">
        <v>129</v>
      </c>
    </row>
    <row r="11" spans="1:13">
      <c r="A11" s="7">
        <v>7</v>
      </c>
      <c r="B11" s="7"/>
      <c r="C11" s="7" t="s">
        <v>130</v>
      </c>
      <c r="D11" s="8" t="s">
        <v>131</v>
      </c>
      <c r="E11" s="7">
        <v>14</v>
      </c>
      <c r="F11" s="7" t="str">
        <f>IFERROR(INDEX(Categories!$B$5:$B$27,MATCH(E11,Categories!$A$5:$A$27,0)),"")</f>
        <v>Frontend</v>
      </c>
      <c r="G11" s="7" t="s">
        <v>714</v>
      </c>
      <c r="H11" s="7" t="s">
        <v>97</v>
      </c>
      <c r="I11" s="7" t="s">
        <v>98</v>
      </c>
      <c r="J11" s="13">
        <f>IFERROR(INDEX(Rates!$D$6:$D$15,MATCH(H11&amp;"|"&amp;I11,Rates!$C$6:$C$15,0)),0)</f>
        <v>100</v>
      </c>
      <c r="K11" s="14">
        <v>4</v>
      </c>
      <c r="L11" s="13">
        <f t="shared" si="0"/>
        <v>400</v>
      </c>
      <c r="M11" s="7"/>
    </row>
    <row r="12" spans="1:13">
      <c r="A12" s="15">
        <v>8</v>
      </c>
      <c r="B12" s="15"/>
      <c r="C12" s="15" t="s">
        <v>130</v>
      </c>
      <c r="D12" s="16" t="s">
        <v>134</v>
      </c>
      <c r="E12" s="15">
        <v>14</v>
      </c>
      <c r="F12" s="15" t="str">
        <f>IFERROR(INDEX(Categories!$B$5:$B$27,MATCH(E12,Categories!$A$5:$A$27,0)),"")</f>
        <v>Frontend</v>
      </c>
      <c r="G12" s="15" t="s">
        <v>911</v>
      </c>
      <c r="H12" s="15" t="s">
        <v>97</v>
      </c>
      <c r="I12" s="15" t="s">
        <v>98</v>
      </c>
      <c r="J12" s="17">
        <f>IFERROR(INDEX(Rates!$D$6:$D$15,MATCH(H12&amp;"|"&amp;I12,Rates!$C$6:$C$15,0)),0)</f>
        <v>100</v>
      </c>
      <c r="K12" s="18">
        <v>3</v>
      </c>
      <c r="L12" s="17">
        <f t="shared" si="0"/>
        <v>300</v>
      </c>
      <c r="M12" s="15" t="s">
        <v>136</v>
      </c>
    </row>
    <row r="13" spans="1:13" ht="25.5">
      <c r="A13" s="7">
        <v>9</v>
      </c>
      <c r="B13" s="7"/>
      <c r="C13" s="7" t="s">
        <v>130</v>
      </c>
      <c r="D13" s="8" t="s">
        <v>137</v>
      </c>
      <c r="E13" s="7">
        <v>14</v>
      </c>
      <c r="F13" s="7" t="str">
        <f>IFERROR(INDEX(Categories!$B$5:$B$27,MATCH(E13,Categories!$A$5:$A$27,0)),"")</f>
        <v>Frontend</v>
      </c>
      <c r="G13" s="7" t="s">
        <v>912</v>
      </c>
      <c r="H13" s="7" t="s">
        <v>97</v>
      </c>
      <c r="I13" s="7" t="s">
        <v>98</v>
      </c>
      <c r="J13" s="13">
        <f>IFERROR(INDEX(Rates!$D$6:$D$15,MATCH(H13&amp;"|"&amp;I13,Rates!$C$6:$C$15,0)),0)</f>
        <v>100</v>
      </c>
      <c r="K13" s="14">
        <v>2</v>
      </c>
      <c r="L13" s="13">
        <f t="shared" si="0"/>
        <v>200</v>
      </c>
      <c r="M13" s="7" t="s">
        <v>139</v>
      </c>
    </row>
    <row r="14" spans="1:13">
      <c r="A14" s="15">
        <v>10</v>
      </c>
      <c r="B14" s="15"/>
      <c r="C14" s="15" t="s">
        <v>130</v>
      </c>
      <c r="D14" s="16" t="s">
        <v>140</v>
      </c>
      <c r="E14" s="15">
        <v>14</v>
      </c>
      <c r="F14" s="15" t="str">
        <f>IFERROR(INDEX(Categories!$B$5:$B$27,MATCH(E14,Categories!$A$5:$A$27,0)),"")</f>
        <v>Frontend</v>
      </c>
      <c r="G14" s="15" t="s">
        <v>913</v>
      </c>
      <c r="H14" s="15" t="s">
        <v>97</v>
      </c>
      <c r="I14" s="15" t="s">
        <v>98</v>
      </c>
      <c r="J14" s="17">
        <f>IFERROR(INDEX(Rates!$D$6:$D$15,MATCH(H14&amp;"|"&amp;I14,Rates!$C$6:$C$15,0)),0)</f>
        <v>100</v>
      </c>
      <c r="K14" s="18">
        <v>2</v>
      </c>
      <c r="L14" s="17">
        <f t="shared" si="0"/>
        <v>200</v>
      </c>
      <c r="M14" s="15" t="s">
        <v>567</v>
      </c>
    </row>
    <row r="15" spans="1:13">
      <c r="A15" s="7">
        <v>11</v>
      </c>
      <c r="B15" s="7"/>
      <c r="C15" s="7" t="s">
        <v>111</v>
      </c>
      <c r="D15" s="8" t="s">
        <v>143</v>
      </c>
      <c r="E15" s="7">
        <v>14</v>
      </c>
      <c r="F15" s="7" t="str">
        <f>IFERROR(INDEX(Categories!$B$5:$B$27,MATCH(E15,Categories!$A$5:$A$27,0)),"")</f>
        <v>Frontend</v>
      </c>
      <c r="G15" s="7" t="s">
        <v>914</v>
      </c>
      <c r="H15" s="7" t="s">
        <v>97</v>
      </c>
      <c r="I15" s="7" t="s">
        <v>98</v>
      </c>
      <c r="J15" s="13">
        <f>IFERROR(INDEX(Rates!$D$6:$D$15,MATCH(H15&amp;"|"&amp;I15,Rates!$C$6:$C$15,0)),0)</f>
        <v>100</v>
      </c>
      <c r="K15" s="14">
        <v>4</v>
      </c>
      <c r="L15" s="13">
        <f t="shared" si="0"/>
        <v>400</v>
      </c>
      <c r="M15" s="7" t="s">
        <v>145</v>
      </c>
    </row>
    <row r="16" spans="1:13">
      <c r="A16" s="15">
        <v>12</v>
      </c>
      <c r="B16" s="15"/>
      <c r="C16" s="15" t="s">
        <v>111</v>
      </c>
      <c r="D16" s="16" t="s">
        <v>146</v>
      </c>
      <c r="E16" s="15">
        <v>14</v>
      </c>
      <c r="F16" s="15" t="str">
        <f>IFERROR(INDEX(Categories!$B$5:$B$27,MATCH(E16,Categories!$A$5:$A$27,0)),"")</f>
        <v>Frontend</v>
      </c>
      <c r="G16" s="15" t="s">
        <v>915</v>
      </c>
      <c r="H16" s="15" t="s">
        <v>97</v>
      </c>
      <c r="I16" s="15" t="s">
        <v>98</v>
      </c>
      <c r="J16" s="17">
        <f>IFERROR(INDEX(Rates!$D$6:$D$15,MATCH(H16&amp;"|"&amp;I16,Rates!$C$6:$C$15,0)),0)</f>
        <v>100</v>
      </c>
      <c r="K16" s="18">
        <v>2</v>
      </c>
      <c r="L16" s="17">
        <f t="shared" si="0"/>
        <v>200</v>
      </c>
      <c r="M16" s="15" t="s">
        <v>571</v>
      </c>
    </row>
    <row r="17" spans="1:13">
      <c r="A17" s="7">
        <v>13</v>
      </c>
      <c r="B17" s="7"/>
      <c r="C17" s="7" t="s">
        <v>111</v>
      </c>
      <c r="D17" s="8" t="s">
        <v>572</v>
      </c>
      <c r="E17" s="7">
        <v>14</v>
      </c>
      <c r="F17" s="7" t="str">
        <f>IFERROR(INDEX(Categories!$B$5:$B$27,MATCH(E17,Categories!$A$5:$A$27,0)),"")</f>
        <v>Frontend</v>
      </c>
      <c r="G17" s="7" t="s">
        <v>149</v>
      </c>
      <c r="H17" s="7" t="s">
        <v>97</v>
      </c>
      <c r="I17" s="7" t="s">
        <v>98</v>
      </c>
      <c r="J17" s="13">
        <f>IFERROR(INDEX(Rates!$D$6:$D$15,MATCH(H17&amp;"|"&amp;I17,Rates!$C$6:$C$15,0)),0)</f>
        <v>100</v>
      </c>
      <c r="K17" s="14">
        <v>1</v>
      </c>
      <c r="L17" s="13">
        <f t="shared" si="0"/>
        <v>100</v>
      </c>
      <c r="M17" s="7" t="s">
        <v>151</v>
      </c>
    </row>
    <row r="18" spans="1:13" ht="25.5">
      <c r="A18" s="15">
        <v>14</v>
      </c>
      <c r="B18" s="15"/>
      <c r="C18" s="15" t="s">
        <v>111</v>
      </c>
      <c r="D18" s="16" t="s">
        <v>153</v>
      </c>
      <c r="E18" s="15">
        <v>15</v>
      </c>
      <c r="F18" s="15" t="str">
        <f>IFERROR(INDEX(Categories!$B$5:$B$27,MATCH(E18,Categories!$A$5:$A$27,0)),"")</f>
        <v>Integration</v>
      </c>
      <c r="G18" s="15" t="s">
        <v>916</v>
      </c>
      <c r="H18" s="15" t="s">
        <v>97</v>
      </c>
      <c r="I18" s="15" t="s">
        <v>99</v>
      </c>
      <c r="J18" s="17">
        <f>IFERROR(INDEX(Rates!$D$6:$D$15,MATCH(H18&amp;"|"&amp;I18,Rates!$C$6:$C$15,0)),0)</f>
        <v>120</v>
      </c>
      <c r="K18" s="18">
        <v>6</v>
      </c>
      <c r="L18" s="17">
        <f t="shared" si="0"/>
        <v>720</v>
      </c>
      <c r="M18" s="15" t="s">
        <v>917</v>
      </c>
    </row>
    <row r="19" spans="1:13">
      <c r="A19" s="7">
        <v>15</v>
      </c>
      <c r="B19" s="7"/>
      <c r="C19" s="7" t="s">
        <v>111</v>
      </c>
      <c r="D19" s="8" t="s">
        <v>156</v>
      </c>
      <c r="E19" s="7">
        <v>14</v>
      </c>
      <c r="F19" s="7" t="str">
        <f>IFERROR(INDEX(Categories!$B$5:$B$27,MATCH(E19,Categories!$A$5:$A$27,0)),"")</f>
        <v>Frontend</v>
      </c>
      <c r="G19" s="7" t="s">
        <v>918</v>
      </c>
      <c r="H19" s="7" t="s">
        <v>97</v>
      </c>
      <c r="I19" s="7" t="s">
        <v>98</v>
      </c>
      <c r="J19" s="13">
        <f>IFERROR(INDEX(Rates!$D$6:$D$15,MATCH(H19&amp;"|"&amp;I19,Rates!$C$6:$C$15,0)),0)</f>
        <v>100</v>
      </c>
      <c r="K19" s="14">
        <v>2</v>
      </c>
      <c r="L19" s="13">
        <f t="shared" si="0"/>
        <v>200</v>
      </c>
      <c r="M19" s="7"/>
    </row>
    <row r="20" spans="1:13" ht="25.5">
      <c r="A20" s="15">
        <v>16</v>
      </c>
      <c r="B20" s="15"/>
      <c r="C20" s="15" t="s">
        <v>158</v>
      </c>
      <c r="D20" s="16" t="s">
        <v>159</v>
      </c>
      <c r="E20" s="15">
        <v>14</v>
      </c>
      <c r="F20" s="15" t="str">
        <f>IFERROR(INDEX(Categories!$B$5:$B$27,MATCH(E20,Categories!$A$5:$A$27,0)),"")</f>
        <v>Frontend</v>
      </c>
      <c r="G20" s="15" t="s">
        <v>919</v>
      </c>
      <c r="H20" s="15" t="s">
        <v>97</v>
      </c>
      <c r="I20" s="15" t="s">
        <v>99</v>
      </c>
      <c r="J20" s="17">
        <f>IFERROR(INDEX(Rates!$D$6:$D$15,MATCH(H20&amp;"|"&amp;I20,Rates!$C$6:$C$15,0)),0)</f>
        <v>120</v>
      </c>
      <c r="K20" s="18">
        <v>8</v>
      </c>
      <c r="L20" s="17">
        <f t="shared" si="0"/>
        <v>960</v>
      </c>
      <c r="M20" s="15" t="s">
        <v>161</v>
      </c>
    </row>
    <row r="21" spans="1:13" ht="25.5">
      <c r="A21" s="7">
        <v>17</v>
      </c>
      <c r="B21" s="7"/>
      <c r="C21" s="7" t="s">
        <v>158</v>
      </c>
      <c r="D21" s="8" t="s">
        <v>162</v>
      </c>
      <c r="E21" s="7">
        <v>14</v>
      </c>
      <c r="F21" s="7" t="str">
        <f>IFERROR(INDEX(Categories!$B$5:$B$27,MATCH(E21,Categories!$A$5:$A$27,0)),"")</f>
        <v>Frontend</v>
      </c>
      <c r="G21" s="7" t="s">
        <v>920</v>
      </c>
      <c r="H21" s="7" t="s">
        <v>97</v>
      </c>
      <c r="I21" s="7" t="s">
        <v>99</v>
      </c>
      <c r="J21" s="13">
        <f>IFERROR(INDEX(Rates!$D$6:$D$15,MATCH(H21&amp;"|"&amp;I21,Rates!$C$6:$C$15,0)),0)</f>
        <v>120</v>
      </c>
      <c r="K21" s="14">
        <v>8</v>
      </c>
      <c r="L21" s="13">
        <f t="shared" si="0"/>
        <v>960</v>
      </c>
      <c r="M21" s="7" t="s">
        <v>164</v>
      </c>
    </row>
    <row r="22" spans="1:13">
      <c r="A22" s="15">
        <v>18</v>
      </c>
      <c r="B22" s="15"/>
      <c r="C22" s="15" t="s">
        <v>158</v>
      </c>
      <c r="D22" s="16" t="s">
        <v>165</v>
      </c>
      <c r="E22" s="15">
        <v>14</v>
      </c>
      <c r="F22" s="15" t="str">
        <f>IFERROR(INDEX(Categories!$B$5:$B$27,MATCH(E22,Categories!$A$5:$A$27,0)),"")</f>
        <v>Frontend</v>
      </c>
      <c r="G22" s="15" t="s">
        <v>921</v>
      </c>
      <c r="H22" s="15" t="s">
        <v>97</v>
      </c>
      <c r="I22" s="15" t="s">
        <v>99</v>
      </c>
      <c r="J22" s="17">
        <f>IFERROR(INDEX(Rates!$D$6:$D$15,MATCH(H22&amp;"|"&amp;I22,Rates!$C$6:$C$15,0)),0)</f>
        <v>120</v>
      </c>
      <c r="K22" s="18">
        <v>10</v>
      </c>
      <c r="L22" s="17">
        <f t="shared" si="0"/>
        <v>1200</v>
      </c>
      <c r="M22" s="15" t="s">
        <v>922</v>
      </c>
    </row>
    <row r="23" spans="1:13" ht="25.5">
      <c r="A23" s="7">
        <v>19</v>
      </c>
      <c r="B23" s="7"/>
      <c r="C23" s="7" t="s">
        <v>158</v>
      </c>
      <c r="D23" s="8" t="s">
        <v>168</v>
      </c>
      <c r="E23" s="7">
        <v>15</v>
      </c>
      <c r="F23" s="7" t="str">
        <f>IFERROR(INDEX(Categories!$B$5:$B$27,MATCH(E23,Categories!$A$5:$A$27,0)),"")</f>
        <v>Integration</v>
      </c>
      <c r="G23" s="7" t="s">
        <v>923</v>
      </c>
      <c r="H23" s="7" t="s">
        <v>97</v>
      </c>
      <c r="I23" s="7" t="s">
        <v>99</v>
      </c>
      <c r="J23" s="13">
        <f>IFERROR(INDEX(Rates!$D$6:$D$15,MATCH(H23&amp;"|"&amp;I23,Rates!$C$6:$C$15,0)),0)</f>
        <v>120</v>
      </c>
      <c r="K23" s="14">
        <v>12</v>
      </c>
      <c r="L23" s="13">
        <f t="shared" si="0"/>
        <v>1440</v>
      </c>
      <c r="M23" s="7" t="s">
        <v>924</v>
      </c>
    </row>
    <row r="24" spans="1:13">
      <c r="A24" s="15">
        <v>20</v>
      </c>
      <c r="B24" s="15"/>
      <c r="C24" s="15" t="s">
        <v>158</v>
      </c>
      <c r="D24" s="16" t="s">
        <v>171</v>
      </c>
      <c r="E24" s="15">
        <v>14</v>
      </c>
      <c r="F24" s="15" t="str">
        <f>IFERROR(INDEX(Categories!$B$5:$B$27,MATCH(E24,Categories!$A$5:$A$27,0)),"")</f>
        <v>Frontend</v>
      </c>
      <c r="G24" s="15" t="s">
        <v>925</v>
      </c>
      <c r="H24" s="15" t="s">
        <v>97</v>
      </c>
      <c r="I24" s="15" t="s">
        <v>99</v>
      </c>
      <c r="J24" s="17">
        <f>IFERROR(INDEX(Rates!$D$6:$D$15,MATCH(H24&amp;"|"&amp;I24,Rates!$C$6:$C$15,0)),0)</f>
        <v>120</v>
      </c>
      <c r="K24" s="18">
        <v>10</v>
      </c>
      <c r="L24" s="17">
        <f t="shared" si="0"/>
        <v>1200</v>
      </c>
      <c r="M24" s="15" t="s">
        <v>173</v>
      </c>
    </row>
    <row r="25" spans="1:13" ht="25.5">
      <c r="A25" s="7">
        <v>21</v>
      </c>
      <c r="B25" s="7"/>
      <c r="C25" s="7" t="s">
        <v>193</v>
      </c>
      <c r="D25" s="8" t="s">
        <v>194</v>
      </c>
      <c r="E25" s="7">
        <v>14</v>
      </c>
      <c r="F25" s="7" t="str">
        <f>IFERROR(INDEX(Categories!$B$5:$B$27,MATCH(E25,Categories!$A$5:$A$27,0)),"")</f>
        <v>Frontend</v>
      </c>
      <c r="G25" s="7" t="s">
        <v>926</v>
      </c>
      <c r="H25" s="7" t="s">
        <v>97</v>
      </c>
      <c r="I25" s="7" t="s">
        <v>99</v>
      </c>
      <c r="J25" s="13">
        <f>IFERROR(INDEX(Rates!$D$6:$D$15,MATCH(H25&amp;"|"&amp;I25,Rates!$C$6:$C$15,0)),0)</f>
        <v>120</v>
      </c>
      <c r="K25" s="14">
        <v>15</v>
      </c>
      <c r="L25" s="13">
        <f t="shared" si="0"/>
        <v>1800</v>
      </c>
      <c r="M25" s="7" t="s">
        <v>927</v>
      </c>
    </row>
    <row r="26" spans="1:13" ht="25.5">
      <c r="A26" s="15">
        <v>22</v>
      </c>
      <c r="B26" s="15"/>
      <c r="C26" s="15" t="s">
        <v>193</v>
      </c>
      <c r="D26" s="16" t="s">
        <v>197</v>
      </c>
      <c r="E26" s="15">
        <v>14</v>
      </c>
      <c r="F26" s="15" t="str">
        <f>IFERROR(INDEX(Categories!$B$5:$B$27,MATCH(E26,Categories!$A$5:$A$27,0)),"")</f>
        <v>Frontend</v>
      </c>
      <c r="G26" s="15" t="s">
        <v>928</v>
      </c>
      <c r="H26" s="15" t="s">
        <v>97</v>
      </c>
      <c r="I26" s="15" t="s">
        <v>99</v>
      </c>
      <c r="J26" s="17">
        <f>IFERROR(INDEX(Rates!$D$6:$D$15,MATCH(H26&amp;"|"&amp;I26,Rates!$C$6:$C$15,0)),0)</f>
        <v>120</v>
      </c>
      <c r="K26" s="18">
        <v>18</v>
      </c>
      <c r="L26" s="17">
        <f t="shared" si="0"/>
        <v>2160</v>
      </c>
      <c r="M26" s="15" t="s">
        <v>929</v>
      </c>
    </row>
    <row r="27" spans="1:13" ht="25.5">
      <c r="A27" s="7">
        <v>23</v>
      </c>
      <c r="B27" s="7"/>
      <c r="C27" s="7" t="s">
        <v>193</v>
      </c>
      <c r="D27" s="8" t="s">
        <v>200</v>
      </c>
      <c r="E27" s="7">
        <v>14</v>
      </c>
      <c r="F27" s="7" t="str">
        <f>IFERROR(INDEX(Categories!$B$5:$B$27,MATCH(E27,Categories!$A$5:$A$27,0)),"")</f>
        <v>Frontend</v>
      </c>
      <c r="G27" s="7" t="s">
        <v>930</v>
      </c>
      <c r="H27" s="7" t="s">
        <v>97</v>
      </c>
      <c r="I27" s="7" t="s">
        <v>99</v>
      </c>
      <c r="J27" s="13">
        <f>IFERROR(INDEX(Rates!$D$6:$D$15,MATCH(H27&amp;"|"&amp;I27,Rates!$C$6:$C$15,0)),0)</f>
        <v>120</v>
      </c>
      <c r="K27" s="14">
        <v>15</v>
      </c>
      <c r="L27" s="13">
        <f t="shared" si="0"/>
        <v>1800</v>
      </c>
      <c r="M27" s="7" t="s">
        <v>931</v>
      </c>
    </row>
    <row r="28" spans="1:13" ht="25.5">
      <c r="A28" s="15">
        <v>24</v>
      </c>
      <c r="B28" s="15"/>
      <c r="C28" s="15" t="s">
        <v>193</v>
      </c>
      <c r="D28" s="16" t="s">
        <v>203</v>
      </c>
      <c r="E28" s="15">
        <v>5</v>
      </c>
      <c r="F28" s="15" t="str">
        <f>IFERROR(INDEX(Categories!$B$5:$B$27,MATCH(E28,Categories!$A$5:$A$27,0)),"")</f>
        <v>Custom Tools</v>
      </c>
      <c r="G28" s="15" t="s">
        <v>932</v>
      </c>
      <c r="H28" s="15" t="s">
        <v>97</v>
      </c>
      <c r="I28" s="15" t="s">
        <v>99</v>
      </c>
      <c r="J28" s="17">
        <f>IFERROR(INDEX(Rates!$D$6:$D$15,MATCH(H28&amp;"|"&amp;I28,Rates!$C$6:$C$15,0)),0)</f>
        <v>120</v>
      </c>
      <c r="K28" s="18">
        <v>20</v>
      </c>
      <c r="L28" s="17">
        <f t="shared" si="0"/>
        <v>2400</v>
      </c>
      <c r="M28" s="15" t="s">
        <v>205</v>
      </c>
    </row>
    <row r="29" spans="1:13" ht="25.5">
      <c r="A29" s="7">
        <v>25</v>
      </c>
      <c r="B29" s="7"/>
      <c r="C29" s="7" t="s">
        <v>206</v>
      </c>
      <c r="D29" s="8" t="s">
        <v>207</v>
      </c>
      <c r="E29" s="7">
        <v>14</v>
      </c>
      <c r="F29" s="7" t="str">
        <f>IFERROR(INDEX(Categories!$B$5:$B$27,MATCH(E29,Categories!$A$5:$A$27,0)),"")</f>
        <v>Frontend</v>
      </c>
      <c r="G29" s="7" t="s">
        <v>726</v>
      </c>
      <c r="H29" s="7" t="s">
        <v>100</v>
      </c>
      <c r="I29" s="7" t="s">
        <v>98</v>
      </c>
      <c r="J29" s="13">
        <f>IFERROR(INDEX(Rates!$D$6:$D$15,MATCH(H29&amp;"|"&amp;I29,Rates!$C$6:$C$15,0)),0)</f>
        <v>100</v>
      </c>
      <c r="K29" s="14">
        <v>6</v>
      </c>
      <c r="L29" s="13">
        <f t="shared" si="0"/>
        <v>600</v>
      </c>
      <c r="M29" s="7" t="s">
        <v>209</v>
      </c>
    </row>
    <row r="30" spans="1:13">
      <c r="A30" s="15">
        <v>26</v>
      </c>
      <c r="B30" s="15"/>
      <c r="C30" s="15" t="s">
        <v>206</v>
      </c>
      <c r="D30" s="16" t="s">
        <v>210</v>
      </c>
      <c r="E30" s="15">
        <v>14</v>
      </c>
      <c r="F30" s="15" t="str">
        <f>IFERROR(INDEX(Categories!$B$5:$B$27,MATCH(E30,Categories!$A$5:$A$27,0)),"")</f>
        <v>Frontend</v>
      </c>
      <c r="G30" s="15" t="s">
        <v>933</v>
      </c>
      <c r="H30" s="15" t="s">
        <v>97</v>
      </c>
      <c r="I30" s="15" t="s">
        <v>99</v>
      </c>
      <c r="J30" s="17">
        <f>IFERROR(INDEX(Rates!$D$6:$D$15,MATCH(H30&amp;"|"&amp;I30,Rates!$C$6:$C$15,0)),0)</f>
        <v>120</v>
      </c>
      <c r="K30" s="18">
        <v>5</v>
      </c>
      <c r="L30" s="17">
        <f t="shared" si="0"/>
        <v>600</v>
      </c>
      <c r="M30" s="15" t="s">
        <v>212</v>
      </c>
    </row>
    <row r="31" spans="1:13" ht="25.5">
      <c r="A31" s="7">
        <v>27</v>
      </c>
      <c r="B31" s="7"/>
      <c r="C31" s="7" t="s">
        <v>206</v>
      </c>
      <c r="D31" s="8" t="s">
        <v>213</v>
      </c>
      <c r="E31" s="7">
        <v>14</v>
      </c>
      <c r="F31" s="7" t="str">
        <f>IFERROR(INDEX(Categories!$B$5:$B$27,MATCH(E31,Categories!$A$5:$A$27,0)),"")</f>
        <v>Frontend</v>
      </c>
      <c r="G31" s="7" t="s">
        <v>934</v>
      </c>
      <c r="H31" s="7" t="s">
        <v>97</v>
      </c>
      <c r="I31" s="7" t="s">
        <v>98</v>
      </c>
      <c r="J31" s="13">
        <f>IFERROR(INDEX(Rates!$D$6:$D$15,MATCH(H31&amp;"|"&amp;I31,Rates!$C$6:$C$15,0)),0)</f>
        <v>100</v>
      </c>
      <c r="K31" s="14">
        <v>4</v>
      </c>
      <c r="L31" s="13">
        <f t="shared" si="0"/>
        <v>400</v>
      </c>
      <c r="M31" s="7" t="s">
        <v>215</v>
      </c>
    </row>
    <row r="32" spans="1:13">
      <c r="A32" s="15">
        <v>28</v>
      </c>
      <c r="B32" s="15"/>
      <c r="C32" s="15" t="s">
        <v>206</v>
      </c>
      <c r="D32" s="16" t="s">
        <v>216</v>
      </c>
      <c r="E32" s="15">
        <v>14</v>
      </c>
      <c r="F32" s="15" t="str">
        <f>IFERROR(INDEX(Categories!$B$5:$B$27,MATCH(E32,Categories!$A$5:$A$27,0)),"")</f>
        <v>Frontend</v>
      </c>
      <c r="G32" s="15" t="s">
        <v>935</v>
      </c>
      <c r="H32" s="15" t="s">
        <v>97</v>
      </c>
      <c r="I32" s="15" t="s">
        <v>99</v>
      </c>
      <c r="J32" s="17">
        <f>IFERROR(INDEX(Rates!$D$6:$D$15,MATCH(H32&amp;"|"&amp;I32,Rates!$C$6:$C$15,0)),0)</f>
        <v>120</v>
      </c>
      <c r="K32" s="18">
        <v>5</v>
      </c>
      <c r="L32" s="17">
        <f t="shared" si="0"/>
        <v>600</v>
      </c>
      <c r="M32" s="15" t="s">
        <v>218</v>
      </c>
    </row>
    <row r="33" spans="1:13">
      <c r="A33" s="7">
        <v>29</v>
      </c>
      <c r="B33" s="7"/>
      <c r="C33" s="7" t="s">
        <v>206</v>
      </c>
      <c r="D33" s="8" t="s">
        <v>219</v>
      </c>
      <c r="E33" s="7">
        <v>14</v>
      </c>
      <c r="F33" s="7" t="str">
        <f>IFERROR(INDEX(Categories!$B$5:$B$27,MATCH(E33,Categories!$A$5:$A$27,0)),"")</f>
        <v>Frontend</v>
      </c>
      <c r="G33" s="7" t="s">
        <v>936</v>
      </c>
      <c r="H33" s="7" t="s">
        <v>97</v>
      </c>
      <c r="I33" s="7" t="s">
        <v>98</v>
      </c>
      <c r="J33" s="13">
        <f>IFERROR(INDEX(Rates!$D$6:$D$15,MATCH(H33&amp;"|"&amp;I33,Rates!$C$6:$C$15,0)),0)</f>
        <v>100</v>
      </c>
      <c r="K33" s="14">
        <v>5</v>
      </c>
      <c r="L33" s="13">
        <f t="shared" si="0"/>
        <v>500</v>
      </c>
      <c r="M33" s="7" t="s">
        <v>221</v>
      </c>
    </row>
    <row r="34" spans="1:13">
      <c r="A34" s="15">
        <v>30</v>
      </c>
      <c r="B34" s="15"/>
      <c r="C34" s="15" t="s">
        <v>130</v>
      </c>
      <c r="D34" s="16" t="s">
        <v>222</v>
      </c>
      <c r="E34" s="15">
        <v>14</v>
      </c>
      <c r="F34" s="15" t="str">
        <f>IFERROR(INDEX(Categories!$B$5:$B$27,MATCH(E34,Categories!$A$5:$A$27,0)),"")</f>
        <v>Frontend</v>
      </c>
      <c r="G34" s="15" t="s">
        <v>937</v>
      </c>
      <c r="H34" s="15" t="s">
        <v>97</v>
      </c>
      <c r="I34" s="15" t="s">
        <v>98</v>
      </c>
      <c r="J34" s="17">
        <f>IFERROR(INDEX(Rates!$D$6:$D$15,MATCH(H34&amp;"|"&amp;I34,Rates!$C$6:$C$15,0)),0)</f>
        <v>100</v>
      </c>
      <c r="K34" s="18">
        <v>3</v>
      </c>
      <c r="L34" s="17">
        <f t="shared" si="0"/>
        <v>300</v>
      </c>
      <c r="M34" s="15" t="s">
        <v>590</v>
      </c>
    </row>
    <row r="35" spans="1:13" ht="25.5">
      <c r="A35" s="7">
        <v>31</v>
      </c>
      <c r="B35" s="7"/>
      <c r="C35" s="7" t="s">
        <v>130</v>
      </c>
      <c r="D35" s="8" t="s">
        <v>577</v>
      </c>
      <c r="E35" s="7">
        <v>18</v>
      </c>
      <c r="F35" s="7" t="str">
        <f>IFERROR(INDEX(Categories!$B$5:$B$27,MATCH(E35,Categories!$A$5:$A$27,0)),"")</f>
        <v>Performance &amp; Security</v>
      </c>
      <c r="G35" s="7" t="s">
        <v>938</v>
      </c>
      <c r="H35" s="7" t="s">
        <v>97</v>
      </c>
      <c r="I35" s="7" t="s">
        <v>98</v>
      </c>
      <c r="J35" s="13">
        <f>IFERROR(INDEX(Rates!$D$6:$D$15,MATCH(H35&amp;"|"&amp;I35,Rates!$C$6:$C$15,0)),0)</f>
        <v>100</v>
      </c>
      <c r="K35" s="14">
        <v>2</v>
      </c>
      <c r="L35" s="13">
        <f t="shared" si="0"/>
        <v>200</v>
      </c>
      <c r="M35" s="7" t="s">
        <v>734</v>
      </c>
    </row>
    <row r="36" spans="1:13" ht="25.5">
      <c r="A36" s="15">
        <v>32</v>
      </c>
      <c r="B36" s="15"/>
      <c r="C36" s="15" t="s">
        <v>193</v>
      </c>
      <c r="D36" s="16" t="s">
        <v>229</v>
      </c>
      <c r="E36" s="15">
        <v>14</v>
      </c>
      <c r="F36" s="15" t="str">
        <f>IFERROR(INDEX(Categories!$B$5:$B$27,MATCH(E36,Categories!$A$5:$A$27,0)),"")</f>
        <v>Frontend</v>
      </c>
      <c r="G36" s="15" t="s">
        <v>939</v>
      </c>
      <c r="H36" s="15" t="s">
        <v>97</v>
      </c>
      <c r="I36" s="15" t="s">
        <v>99</v>
      </c>
      <c r="J36" s="17">
        <f>IFERROR(INDEX(Rates!$D$6:$D$15,MATCH(H36&amp;"|"&amp;I36,Rates!$C$6:$C$15,0)),0)</f>
        <v>120</v>
      </c>
      <c r="K36" s="18">
        <v>18</v>
      </c>
      <c r="L36" s="17">
        <f t="shared" si="0"/>
        <v>2160</v>
      </c>
      <c r="M36" s="15"/>
    </row>
    <row r="37" spans="1:13" ht="25.5">
      <c r="A37" s="7">
        <v>33</v>
      </c>
      <c r="B37" s="7"/>
      <c r="C37" s="7" t="s">
        <v>174</v>
      </c>
      <c r="D37" s="8" t="s">
        <v>175</v>
      </c>
      <c r="E37" s="7">
        <v>14</v>
      </c>
      <c r="F37" s="7" t="str">
        <f>IFERROR(INDEX(Categories!$B$5:$B$27,MATCH(E37,Categories!$A$5:$A$27,0)),"")</f>
        <v>Frontend</v>
      </c>
      <c r="G37" s="7" t="s">
        <v>940</v>
      </c>
      <c r="H37" s="7" t="s">
        <v>97</v>
      </c>
      <c r="I37" s="7" t="s">
        <v>98</v>
      </c>
      <c r="J37" s="13">
        <f>IFERROR(INDEX(Rates!$D$6:$D$15,MATCH(H37&amp;"|"&amp;I37,Rates!$C$6:$C$15,0)),0)</f>
        <v>100</v>
      </c>
      <c r="K37" s="14">
        <v>8</v>
      </c>
      <c r="L37" s="13">
        <f t="shared" ref="L37:L68" si="1">K37*J37</f>
        <v>800</v>
      </c>
      <c r="M37" s="7" t="s">
        <v>601</v>
      </c>
    </row>
    <row r="38" spans="1:13" ht="25.5">
      <c r="A38" s="15">
        <v>34</v>
      </c>
      <c r="B38" s="15"/>
      <c r="C38" s="15" t="s">
        <v>178</v>
      </c>
      <c r="D38" s="16" t="s">
        <v>736</v>
      </c>
      <c r="E38" s="15">
        <v>14</v>
      </c>
      <c r="F38" s="15" t="str">
        <f>IFERROR(INDEX(Categories!$B$5:$B$27,MATCH(E38,Categories!$A$5:$A$27,0)),"")</f>
        <v>Frontend</v>
      </c>
      <c r="G38" s="15" t="s">
        <v>941</v>
      </c>
      <c r="H38" s="15" t="s">
        <v>97</v>
      </c>
      <c r="I38" s="15" t="s">
        <v>98</v>
      </c>
      <c r="J38" s="17">
        <f>IFERROR(INDEX(Rates!$D$6:$D$15,MATCH(H38&amp;"|"&amp;I38,Rates!$C$6:$C$15,0)),0)</f>
        <v>100</v>
      </c>
      <c r="K38" s="18">
        <v>8</v>
      </c>
      <c r="L38" s="17">
        <f t="shared" si="1"/>
        <v>800</v>
      </c>
      <c r="M38" s="15" t="s">
        <v>604</v>
      </c>
    </row>
    <row r="39" spans="1:13" ht="25.5">
      <c r="A39" s="7">
        <v>35</v>
      </c>
      <c r="B39" s="7"/>
      <c r="C39" s="7" t="s">
        <v>182</v>
      </c>
      <c r="D39" s="8" t="s">
        <v>605</v>
      </c>
      <c r="E39" s="7">
        <v>14</v>
      </c>
      <c r="F39" s="7" t="str">
        <f>IFERROR(INDEX(Categories!$B$5:$B$27,MATCH(E39,Categories!$A$5:$A$27,0)),"")</f>
        <v>Frontend</v>
      </c>
      <c r="G39" s="7" t="s">
        <v>942</v>
      </c>
      <c r="H39" s="7" t="s">
        <v>97</v>
      </c>
      <c r="I39" s="7" t="s">
        <v>98</v>
      </c>
      <c r="J39" s="13">
        <f>IFERROR(INDEX(Rates!$D$6:$D$15,MATCH(H39&amp;"|"&amp;I39,Rates!$C$6:$C$15,0)),0)</f>
        <v>100</v>
      </c>
      <c r="K39" s="14">
        <v>6</v>
      </c>
      <c r="L39" s="13">
        <f t="shared" si="1"/>
        <v>600</v>
      </c>
      <c r="M39" s="7" t="s">
        <v>607</v>
      </c>
    </row>
    <row r="40" spans="1:13" ht="25.5">
      <c r="A40" s="15">
        <v>36</v>
      </c>
      <c r="B40" s="15"/>
      <c r="C40" s="15" t="s">
        <v>186</v>
      </c>
      <c r="D40" s="16" t="s">
        <v>943</v>
      </c>
      <c r="E40" s="15">
        <v>14</v>
      </c>
      <c r="F40" s="15" t="str">
        <f>IFERROR(INDEX(Categories!$B$5:$B$27,MATCH(E40,Categories!$A$5:$A$27,0)),"")</f>
        <v>Frontend</v>
      </c>
      <c r="G40" s="15" t="s">
        <v>944</v>
      </c>
      <c r="H40" s="15" t="s">
        <v>97</v>
      </c>
      <c r="I40" s="15" t="s">
        <v>98</v>
      </c>
      <c r="J40" s="17">
        <f>IFERROR(INDEX(Rates!$D$6:$D$15,MATCH(H40&amp;"|"&amp;I40,Rates!$C$6:$C$15,0)),0)</f>
        <v>100</v>
      </c>
      <c r="K40" s="18">
        <v>6</v>
      </c>
      <c r="L40" s="17">
        <f t="shared" si="1"/>
        <v>600</v>
      </c>
      <c r="M40" s="15" t="s">
        <v>189</v>
      </c>
    </row>
    <row r="41" spans="1:13">
      <c r="A41" s="7">
        <v>37</v>
      </c>
      <c r="B41" s="7"/>
      <c r="C41" s="7" t="s">
        <v>232</v>
      </c>
      <c r="D41" s="8" t="s">
        <v>945</v>
      </c>
      <c r="E41" s="7">
        <v>14</v>
      </c>
      <c r="F41" s="7" t="str">
        <f>IFERROR(INDEX(Categories!$B$5:$B$27,MATCH(E41,Categories!$A$5:$A$27,0)),"")</f>
        <v>Frontend</v>
      </c>
      <c r="G41" s="7" t="s">
        <v>946</v>
      </c>
      <c r="H41" s="7" t="s">
        <v>97</v>
      </c>
      <c r="I41" s="7" t="s">
        <v>98</v>
      </c>
      <c r="J41" s="13">
        <f>IFERROR(INDEX(Rates!$D$6:$D$15,MATCH(H41&amp;"|"&amp;I41,Rates!$C$6:$C$15,0)),0)</f>
        <v>100</v>
      </c>
      <c r="K41" s="14">
        <v>2</v>
      </c>
      <c r="L41" s="13">
        <f t="shared" si="1"/>
        <v>200</v>
      </c>
      <c r="M41" s="7" t="s">
        <v>947</v>
      </c>
    </row>
    <row r="42" spans="1:13" ht="25.5">
      <c r="A42" s="15">
        <v>38</v>
      </c>
      <c r="B42" s="15"/>
      <c r="C42" s="15" t="s">
        <v>232</v>
      </c>
      <c r="D42" s="16" t="s">
        <v>948</v>
      </c>
      <c r="E42" s="15">
        <v>14</v>
      </c>
      <c r="F42" s="15" t="str">
        <f>IFERROR(INDEX(Categories!$B$5:$B$27,MATCH(E42,Categories!$A$5:$A$27,0)),"")</f>
        <v>Frontend</v>
      </c>
      <c r="G42" s="15" t="s">
        <v>949</v>
      </c>
      <c r="H42" s="15" t="s">
        <v>97</v>
      </c>
      <c r="I42" s="15" t="s">
        <v>98</v>
      </c>
      <c r="J42" s="17">
        <f>IFERROR(INDEX(Rates!$D$6:$D$15,MATCH(H42&amp;"|"&amp;I42,Rates!$C$6:$C$15,0)),0)</f>
        <v>100</v>
      </c>
      <c r="K42" s="18">
        <v>2</v>
      </c>
      <c r="L42" s="17">
        <f t="shared" si="1"/>
        <v>200</v>
      </c>
      <c r="M42" s="15" t="s">
        <v>950</v>
      </c>
    </row>
    <row r="43" spans="1:13" ht="25.5">
      <c r="A43" s="7">
        <v>39</v>
      </c>
      <c r="B43" s="7"/>
      <c r="C43" s="7" t="s">
        <v>232</v>
      </c>
      <c r="D43" s="8" t="s">
        <v>951</v>
      </c>
      <c r="E43" s="7">
        <v>14</v>
      </c>
      <c r="F43" s="7" t="str">
        <f>IFERROR(INDEX(Categories!$B$5:$B$27,MATCH(E43,Categories!$A$5:$A$27,0)),"")</f>
        <v>Frontend</v>
      </c>
      <c r="G43" s="7" t="s">
        <v>952</v>
      </c>
      <c r="H43" s="7" t="s">
        <v>97</v>
      </c>
      <c r="I43" s="7" t="s">
        <v>98</v>
      </c>
      <c r="J43" s="13">
        <f>IFERROR(INDEX(Rates!$D$6:$D$15,MATCH(H43&amp;"|"&amp;I43,Rates!$C$6:$C$15,0)),0)</f>
        <v>100</v>
      </c>
      <c r="K43" s="14">
        <v>2</v>
      </c>
      <c r="L43" s="13">
        <f t="shared" si="1"/>
        <v>200</v>
      </c>
      <c r="M43" s="7" t="s">
        <v>953</v>
      </c>
    </row>
    <row r="44" spans="1:13">
      <c r="A44" s="15">
        <v>40</v>
      </c>
      <c r="B44" s="15"/>
      <c r="C44" s="15" t="s">
        <v>236</v>
      </c>
      <c r="D44" s="16" t="s">
        <v>237</v>
      </c>
      <c r="E44" s="15">
        <v>14</v>
      </c>
      <c r="F44" s="15" t="str">
        <f>IFERROR(INDEX(Categories!$B$5:$B$27,MATCH(E44,Categories!$A$5:$A$27,0)),"")</f>
        <v>Frontend</v>
      </c>
      <c r="G44" s="15" t="s">
        <v>954</v>
      </c>
      <c r="H44" s="15" t="s">
        <v>97</v>
      </c>
      <c r="I44" s="15" t="s">
        <v>99</v>
      </c>
      <c r="J44" s="17">
        <f>IFERROR(INDEX(Rates!$D$6:$D$15,MATCH(H44&amp;"|"&amp;I44,Rates!$C$6:$C$15,0)),0)</f>
        <v>120</v>
      </c>
      <c r="K44" s="18">
        <v>4</v>
      </c>
      <c r="L44" s="17">
        <f t="shared" si="1"/>
        <v>480</v>
      </c>
      <c r="M44" s="15" t="s">
        <v>239</v>
      </c>
    </row>
    <row r="45" spans="1:13">
      <c r="A45" s="7">
        <v>41</v>
      </c>
      <c r="B45" s="7"/>
      <c r="C45" s="7" t="s">
        <v>236</v>
      </c>
      <c r="D45" s="8" t="s">
        <v>240</v>
      </c>
      <c r="E45" s="7">
        <v>14</v>
      </c>
      <c r="F45" s="7" t="str">
        <f>IFERROR(INDEX(Categories!$B$5:$B$27,MATCH(E45,Categories!$A$5:$A$27,0)),"")</f>
        <v>Frontend</v>
      </c>
      <c r="G45" s="7" t="s">
        <v>955</v>
      </c>
      <c r="H45" s="7" t="s">
        <v>97</v>
      </c>
      <c r="I45" s="7" t="s">
        <v>99</v>
      </c>
      <c r="J45" s="13">
        <f>IFERROR(INDEX(Rates!$D$6:$D$15,MATCH(H45&amp;"|"&amp;I45,Rates!$C$6:$C$15,0)),0)</f>
        <v>120</v>
      </c>
      <c r="K45" s="14">
        <v>4</v>
      </c>
      <c r="L45" s="13">
        <f t="shared" si="1"/>
        <v>480</v>
      </c>
      <c r="M45" s="7" t="s">
        <v>956</v>
      </c>
    </row>
    <row r="46" spans="1:13">
      <c r="A46" s="15">
        <v>42</v>
      </c>
      <c r="B46" s="15"/>
      <c r="C46" s="15" t="s">
        <v>236</v>
      </c>
      <c r="D46" s="16" t="s">
        <v>243</v>
      </c>
      <c r="E46" s="15">
        <v>2</v>
      </c>
      <c r="F46" s="15" t="str">
        <f>IFERROR(INDEX(Categories!$B$5:$B$27,MATCH(E46,Categories!$A$5:$A$27,0)),"")</f>
        <v>Backend</v>
      </c>
      <c r="G46" s="15" t="s">
        <v>957</v>
      </c>
      <c r="H46" s="15" t="s">
        <v>97</v>
      </c>
      <c r="I46" s="15" t="s">
        <v>99</v>
      </c>
      <c r="J46" s="17">
        <f>IFERROR(INDEX(Rates!$D$6:$D$15,MATCH(H46&amp;"|"&amp;I46,Rates!$C$6:$C$15,0)),0)</f>
        <v>120</v>
      </c>
      <c r="K46" s="18">
        <v>2</v>
      </c>
      <c r="L46" s="17">
        <f t="shared" si="1"/>
        <v>240</v>
      </c>
      <c r="M46" s="15" t="s">
        <v>245</v>
      </c>
    </row>
    <row r="47" spans="1:13" ht="25.5">
      <c r="A47" s="7">
        <v>43</v>
      </c>
      <c r="B47" s="7"/>
      <c r="C47" s="7" t="s">
        <v>247</v>
      </c>
      <c r="D47" s="8" t="s">
        <v>248</v>
      </c>
      <c r="E47" s="7">
        <v>15</v>
      </c>
      <c r="F47" s="7" t="str">
        <f>IFERROR(INDEX(Categories!$B$5:$B$27,MATCH(E47,Categories!$A$5:$A$27,0)),"")</f>
        <v>Integration</v>
      </c>
      <c r="G47" s="7" t="s">
        <v>958</v>
      </c>
      <c r="H47" s="7" t="s">
        <v>97</v>
      </c>
      <c r="I47" s="7" t="s">
        <v>99</v>
      </c>
      <c r="J47" s="13">
        <f>IFERROR(INDEX(Rates!$D$6:$D$15,MATCH(H47&amp;"|"&amp;I47,Rates!$C$6:$C$15,0)),0)</f>
        <v>120</v>
      </c>
      <c r="K47" s="14">
        <v>4</v>
      </c>
      <c r="L47" s="13">
        <f t="shared" si="1"/>
        <v>480</v>
      </c>
      <c r="M47" s="7" t="s">
        <v>250</v>
      </c>
    </row>
    <row r="48" spans="1:13">
      <c r="A48" s="15">
        <v>44</v>
      </c>
      <c r="B48" s="15"/>
      <c r="C48" s="15" t="s">
        <v>247</v>
      </c>
      <c r="D48" s="16" t="s">
        <v>251</v>
      </c>
      <c r="E48" s="15">
        <v>15</v>
      </c>
      <c r="F48" s="15" t="str">
        <f>IFERROR(INDEX(Categories!$B$5:$B$27,MATCH(E48,Categories!$A$5:$A$27,0)),"")</f>
        <v>Integration</v>
      </c>
      <c r="G48" s="15" t="s">
        <v>959</v>
      </c>
      <c r="H48" s="15" t="s">
        <v>97</v>
      </c>
      <c r="I48" s="15" t="s">
        <v>99</v>
      </c>
      <c r="J48" s="17">
        <f>IFERROR(INDEX(Rates!$D$6:$D$15,MATCH(H48&amp;"|"&amp;I48,Rates!$C$6:$C$15,0)),0)</f>
        <v>120</v>
      </c>
      <c r="K48" s="18">
        <v>2</v>
      </c>
      <c r="L48" s="17">
        <f t="shared" si="1"/>
        <v>240</v>
      </c>
      <c r="M48" s="15" t="s">
        <v>253</v>
      </c>
    </row>
    <row r="49" spans="1:13">
      <c r="A49" s="7">
        <v>45</v>
      </c>
      <c r="B49" s="7"/>
      <c r="C49" s="7" t="s">
        <v>247</v>
      </c>
      <c r="D49" s="8" t="s">
        <v>254</v>
      </c>
      <c r="E49" s="7">
        <v>15</v>
      </c>
      <c r="F49" s="7" t="str">
        <f>IFERROR(INDEX(Categories!$B$5:$B$27,MATCH(E49,Categories!$A$5:$A$27,0)),"")</f>
        <v>Integration</v>
      </c>
      <c r="G49" s="7" t="s">
        <v>960</v>
      </c>
      <c r="H49" s="7" t="s">
        <v>97</v>
      </c>
      <c r="I49" s="7" t="s">
        <v>99</v>
      </c>
      <c r="J49" s="13">
        <f>IFERROR(INDEX(Rates!$D$6:$D$15,MATCH(H49&amp;"|"&amp;I49,Rates!$C$6:$C$15,0)),0)</f>
        <v>120</v>
      </c>
      <c r="K49" s="14">
        <v>2</v>
      </c>
      <c r="L49" s="13">
        <f t="shared" si="1"/>
        <v>240</v>
      </c>
      <c r="M49" s="7" t="s">
        <v>256</v>
      </c>
    </row>
    <row r="50" spans="1:13">
      <c r="A50" s="15">
        <v>46</v>
      </c>
      <c r="B50" s="15"/>
      <c r="C50" s="15" t="s">
        <v>257</v>
      </c>
      <c r="D50" s="16" t="s">
        <v>258</v>
      </c>
      <c r="E50" s="15">
        <v>15</v>
      </c>
      <c r="F50" s="15" t="str">
        <f>IFERROR(INDEX(Categories!$B$5:$B$27,MATCH(E50,Categories!$A$5:$A$27,0)),"")</f>
        <v>Integration</v>
      </c>
      <c r="G50" s="15" t="s">
        <v>961</v>
      </c>
      <c r="H50" s="15" t="s">
        <v>97</v>
      </c>
      <c r="I50" s="15" t="s">
        <v>98</v>
      </c>
      <c r="J50" s="17">
        <f>IFERROR(INDEX(Rates!$D$6:$D$15,MATCH(H50&amp;"|"&amp;I50,Rates!$C$6:$C$15,0)),0)</f>
        <v>100</v>
      </c>
      <c r="K50" s="18">
        <v>4</v>
      </c>
      <c r="L50" s="17">
        <f t="shared" si="1"/>
        <v>400</v>
      </c>
      <c r="M50" s="15" t="s">
        <v>747</v>
      </c>
    </row>
    <row r="51" spans="1:13">
      <c r="A51" s="7">
        <v>47</v>
      </c>
      <c r="B51" s="7"/>
      <c r="C51" s="7" t="s">
        <v>257</v>
      </c>
      <c r="D51" s="8" t="s">
        <v>261</v>
      </c>
      <c r="E51" s="7">
        <v>15</v>
      </c>
      <c r="F51" s="7" t="str">
        <f>IFERROR(INDEX(Categories!$B$5:$B$27,MATCH(E51,Categories!$A$5:$A$27,0)),"")</f>
        <v>Integration</v>
      </c>
      <c r="G51" s="7" t="s">
        <v>962</v>
      </c>
      <c r="H51" s="7" t="s">
        <v>97</v>
      </c>
      <c r="I51" s="7" t="s">
        <v>98</v>
      </c>
      <c r="J51" s="13">
        <f>IFERROR(INDEX(Rates!$D$6:$D$15,MATCH(H51&amp;"|"&amp;I51,Rates!$C$6:$C$15,0)),0)</f>
        <v>100</v>
      </c>
      <c r="K51" s="14">
        <v>2</v>
      </c>
      <c r="L51" s="13">
        <f t="shared" si="1"/>
        <v>200</v>
      </c>
      <c r="M51" s="7" t="s">
        <v>749</v>
      </c>
    </row>
    <row r="52" spans="1:13">
      <c r="A52" s="15">
        <v>48</v>
      </c>
      <c r="B52" s="15"/>
      <c r="C52" s="15" t="s">
        <v>257</v>
      </c>
      <c r="D52" s="16" t="s">
        <v>264</v>
      </c>
      <c r="E52" s="15">
        <v>15</v>
      </c>
      <c r="F52" s="15" t="str">
        <f>IFERROR(INDEX(Categories!$B$5:$B$27,MATCH(E52,Categories!$A$5:$A$27,0)),"")</f>
        <v>Integration</v>
      </c>
      <c r="G52" s="15" t="s">
        <v>963</v>
      </c>
      <c r="H52" s="15" t="s">
        <v>97</v>
      </c>
      <c r="I52" s="15" t="s">
        <v>99</v>
      </c>
      <c r="J52" s="17">
        <f>IFERROR(INDEX(Rates!$D$6:$D$15,MATCH(H52&amp;"|"&amp;I52,Rates!$C$6:$C$15,0)),0)</f>
        <v>120</v>
      </c>
      <c r="K52" s="18">
        <v>12</v>
      </c>
      <c r="L52" s="17">
        <f t="shared" si="1"/>
        <v>1440</v>
      </c>
      <c r="M52" s="15" t="s">
        <v>266</v>
      </c>
    </row>
    <row r="53" spans="1:13" ht="25.5">
      <c r="A53" s="7">
        <v>49</v>
      </c>
      <c r="B53" s="7"/>
      <c r="C53" s="7" t="s">
        <v>257</v>
      </c>
      <c r="D53" s="8" t="s">
        <v>267</v>
      </c>
      <c r="E53" s="7">
        <v>15</v>
      </c>
      <c r="F53" s="7" t="str">
        <f>IFERROR(INDEX(Categories!$B$5:$B$27,MATCH(E53,Categories!$A$5:$A$27,0)),"")</f>
        <v>Integration</v>
      </c>
      <c r="G53" s="7" t="s">
        <v>964</v>
      </c>
      <c r="H53" s="7" t="s">
        <v>97</v>
      </c>
      <c r="I53" s="7" t="s">
        <v>99</v>
      </c>
      <c r="J53" s="13">
        <f>IFERROR(INDEX(Rates!$D$6:$D$15,MATCH(H53&amp;"|"&amp;I53,Rates!$C$6:$C$15,0)),0)</f>
        <v>120</v>
      </c>
      <c r="K53" s="14">
        <v>25</v>
      </c>
      <c r="L53" s="13">
        <f t="shared" si="1"/>
        <v>3000</v>
      </c>
      <c r="M53" s="7" t="s">
        <v>269</v>
      </c>
    </row>
    <row r="54" spans="1:13" ht="25.5">
      <c r="A54" s="15">
        <v>50</v>
      </c>
      <c r="B54" s="15"/>
      <c r="C54" s="15" t="s">
        <v>257</v>
      </c>
      <c r="D54" s="16" t="s">
        <v>270</v>
      </c>
      <c r="E54" s="15">
        <v>15</v>
      </c>
      <c r="F54" s="15" t="str">
        <f>IFERROR(INDEX(Categories!$B$5:$B$27,MATCH(E54,Categories!$A$5:$A$27,0)),"")</f>
        <v>Integration</v>
      </c>
      <c r="G54" s="15" t="s">
        <v>965</v>
      </c>
      <c r="H54" s="15" t="s">
        <v>97</v>
      </c>
      <c r="I54" s="15" t="s">
        <v>98</v>
      </c>
      <c r="J54" s="17">
        <f>IFERROR(INDEX(Rates!$D$6:$D$15,MATCH(H54&amp;"|"&amp;I54,Rates!$C$6:$C$15,0)),0)</f>
        <v>100</v>
      </c>
      <c r="K54" s="18">
        <v>6</v>
      </c>
      <c r="L54" s="17">
        <f t="shared" si="1"/>
        <v>600</v>
      </c>
      <c r="M54" s="15" t="s">
        <v>597</v>
      </c>
    </row>
    <row r="55" spans="1:13">
      <c r="A55" s="7">
        <v>51</v>
      </c>
      <c r="B55" s="7"/>
      <c r="C55" s="7" t="s">
        <v>257</v>
      </c>
      <c r="D55" s="8" t="s">
        <v>273</v>
      </c>
      <c r="E55" s="7">
        <v>1</v>
      </c>
      <c r="F55" s="7" t="str">
        <f>IFERROR(INDEX(Categories!$B$5:$B$27,MATCH(E55,Categories!$A$5:$A$27,0)),"")</f>
        <v>Accessibility</v>
      </c>
      <c r="G55" s="7" t="s">
        <v>966</v>
      </c>
      <c r="H55" s="7" t="s">
        <v>97</v>
      </c>
      <c r="I55" s="7" t="s">
        <v>98</v>
      </c>
      <c r="J55" s="13">
        <f>IFERROR(INDEX(Rates!$D$6:$D$15,MATCH(H55&amp;"|"&amp;I55,Rates!$C$6:$C$15,0)),0)</f>
        <v>100</v>
      </c>
      <c r="K55" s="14">
        <v>6</v>
      </c>
      <c r="L55" s="13">
        <f t="shared" si="1"/>
        <v>600</v>
      </c>
      <c r="M55" s="7" t="s">
        <v>967</v>
      </c>
    </row>
    <row r="56" spans="1:13" ht="25.5">
      <c r="A56" s="15">
        <v>52</v>
      </c>
      <c r="B56" s="15"/>
      <c r="C56" s="15" t="s">
        <v>257</v>
      </c>
      <c r="D56" s="16" t="s">
        <v>968</v>
      </c>
      <c r="E56" s="15">
        <v>1</v>
      </c>
      <c r="F56" s="15" t="str">
        <f>IFERROR(INDEX(Categories!$B$5:$B$27,MATCH(E56,Categories!$A$5:$A$27,0)),"")</f>
        <v>Accessibility</v>
      </c>
      <c r="G56" s="15" t="s">
        <v>969</v>
      </c>
      <c r="H56" s="15" t="s">
        <v>97</v>
      </c>
      <c r="I56" s="15" t="s">
        <v>99</v>
      </c>
      <c r="J56" s="17">
        <f>IFERROR(INDEX(Rates!$D$6:$D$15,MATCH(H56&amp;"|"&amp;I56,Rates!$C$6:$C$15,0)),0)</f>
        <v>120</v>
      </c>
      <c r="K56" s="18">
        <v>25</v>
      </c>
      <c r="L56" s="17">
        <f t="shared" si="1"/>
        <v>3000</v>
      </c>
      <c r="M56" s="15" t="s">
        <v>970</v>
      </c>
    </row>
    <row r="57" spans="1:13" ht="25.5">
      <c r="A57" s="7">
        <v>53</v>
      </c>
      <c r="B57" s="7"/>
      <c r="C57" s="7" t="s">
        <v>279</v>
      </c>
      <c r="D57" s="8" t="s">
        <v>971</v>
      </c>
      <c r="E57" s="7">
        <v>2</v>
      </c>
      <c r="F57" s="7" t="str">
        <f>IFERROR(INDEX(Categories!$B$5:$B$27,MATCH(E57,Categories!$A$5:$A$27,0)),"")</f>
        <v>Backend</v>
      </c>
      <c r="G57" s="7" t="s">
        <v>972</v>
      </c>
      <c r="H57" s="7" t="s">
        <v>97</v>
      </c>
      <c r="I57" s="7" t="s">
        <v>99</v>
      </c>
      <c r="J57" s="13">
        <f>IFERROR(INDEX(Rates!$D$6:$D$15,MATCH(H57&amp;"|"&amp;I57,Rates!$C$6:$C$15,0)),0)</f>
        <v>120</v>
      </c>
      <c r="K57" s="14">
        <v>10</v>
      </c>
      <c r="L57" s="13">
        <f t="shared" si="1"/>
        <v>1200</v>
      </c>
      <c r="M57" s="7" t="s">
        <v>973</v>
      </c>
    </row>
    <row r="58" spans="1:13">
      <c r="A58" s="15">
        <v>54</v>
      </c>
      <c r="B58" s="15"/>
      <c r="C58" s="15" t="s">
        <v>279</v>
      </c>
      <c r="D58" s="16" t="s">
        <v>283</v>
      </c>
      <c r="E58" s="15">
        <v>2</v>
      </c>
      <c r="F58" s="15" t="str">
        <f>IFERROR(INDEX(Categories!$B$5:$B$27,MATCH(E58,Categories!$A$5:$A$27,0)),"")</f>
        <v>Backend</v>
      </c>
      <c r="G58" s="15" t="s">
        <v>864</v>
      </c>
      <c r="H58" s="15" t="s">
        <v>97</v>
      </c>
      <c r="I58" s="15" t="s">
        <v>99</v>
      </c>
      <c r="J58" s="17">
        <f>IFERROR(INDEX(Rates!$D$6:$D$15,MATCH(H58&amp;"|"&amp;I58,Rates!$C$6:$C$15,0)),0)</f>
        <v>120</v>
      </c>
      <c r="K58" s="18">
        <v>10</v>
      </c>
      <c r="L58" s="17">
        <f t="shared" si="1"/>
        <v>1200</v>
      </c>
      <c r="M58" s="15" t="s">
        <v>285</v>
      </c>
    </row>
    <row r="59" spans="1:13">
      <c r="A59" s="7">
        <v>55</v>
      </c>
      <c r="B59" s="7"/>
      <c r="C59" s="7" t="s">
        <v>279</v>
      </c>
      <c r="D59" s="8" t="s">
        <v>286</v>
      </c>
      <c r="E59" s="7">
        <v>2</v>
      </c>
      <c r="F59" s="7" t="str">
        <f>IFERROR(INDEX(Categories!$B$5:$B$27,MATCH(E59,Categories!$A$5:$A$27,0)),"")</f>
        <v>Backend</v>
      </c>
      <c r="G59" s="7" t="s">
        <v>974</v>
      </c>
      <c r="H59" s="7" t="s">
        <v>97</v>
      </c>
      <c r="I59" s="7" t="s">
        <v>99</v>
      </c>
      <c r="J59" s="13">
        <f>IFERROR(INDEX(Rates!$D$6:$D$15,MATCH(H59&amp;"|"&amp;I59,Rates!$C$6:$C$15,0)),0)</f>
        <v>120</v>
      </c>
      <c r="K59" s="14">
        <v>12</v>
      </c>
      <c r="L59" s="13">
        <f t="shared" si="1"/>
        <v>1440</v>
      </c>
      <c r="M59" s="7" t="s">
        <v>288</v>
      </c>
    </row>
    <row r="60" spans="1:13" ht="25.5">
      <c r="A60" s="15">
        <v>56</v>
      </c>
      <c r="B60" s="15"/>
      <c r="C60" s="15" t="s">
        <v>279</v>
      </c>
      <c r="D60" s="16" t="s">
        <v>975</v>
      </c>
      <c r="E60" s="15">
        <v>2</v>
      </c>
      <c r="F60" s="15" t="str">
        <f>IFERROR(INDEX(Categories!$B$5:$B$27,MATCH(E60,Categories!$A$5:$A$27,0)),"")</f>
        <v>Backend</v>
      </c>
      <c r="G60" s="15" t="s">
        <v>976</v>
      </c>
      <c r="H60" s="15" t="s">
        <v>97</v>
      </c>
      <c r="I60" s="15" t="s">
        <v>99</v>
      </c>
      <c r="J60" s="17">
        <f>IFERROR(INDEX(Rates!$D$6:$D$15,MATCH(H60&amp;"|"&amp;I60,Rates!$C$6:$C$15,0)),0)</f>
        <v>120</v>
      </c>
      <c r="K60" s="18">
        <v>20</v>
      </c>
      <c r="L60" s="17">
        <f t="shared" si="1"/>
        <v>2400</v>
      </c>
      <c r="M60" s="15" t="s">
        <v>291</v>
      </c>
    </row>
    <row r="61" spans="1:13" ht="25.5">
      <c r="A61" s="7">
        <v>57</v>
      </c>
      <c r="B61" s="7"/>
      <c r="C61" s="7" t="s">
        <v>68</v>
      </c>
      <c r="D61" s="8" t="s">
        <v>292</v>
      </c>
      <c r="E61" s="7">
        <v>12</v>
      </c>
      <c r="F61" s="7" t="str">
        <f>IFERROR(INDEX(Categories!$B$5:$B$27,MATCH(E61,Categories!$A$5:$A$27,0)),"")</f>
        <v>E-Commerce</v>
      </c>
      <c r="G61" s="7" t="s">
        <v>293</v>
      </c>
      <c r="H61" s="7" t="s">
        <v>97</v>
      </c>
      <c r="I61" s="7" t="s">
        <v>99</v>
      </c>
      <c r="J61" s="13">
        <f>IFERROR(INDEX(Rates!$D$6:$D$15,MATCH(H61&amp;"|"&amp;I61,Rates!$C$6:$C$15,0)),0)</f>
        <v>120</v>
      </c>
      <c r="K61" s="14">
        <v>8</v>
      </c>
      <c r="L61" s="13">
        <f t="shared" si="1"/>
        <v>960</v>
      </c>
      <c r="M61" s="7" t="s">
        <v>764</v>
      </c>
    </row>
    <row r="62" spans="1:13" ht="25.5">
      <c r="A62" s="15">
        <v>58</v>
      </c>
      <c r="B62" s="15"/>
      <c r="C62" s="15" t="s">
        <v>68</v>
      </c>
      <c r="D62" s="16" t="s">
        <v>623</v>
      </c>
      <c r="E62" s="15">
        <v>12</v>
      </c>
      <c r="F62" s="15" t="str">
        <f>IFERROR(INDEX(Categories!$B$5:$B$27,MATCH(E62,Categories!$A$5:$A$27,0)),"")</f>
        <v>E-Commerce</v>
      </c>
      <c r="G62" s="15" t="s">
        <v>977</v>
      </c>
      <c r="H62" s="15" t="s">
        <v>97</v>
      </c>
      <c r="I62" s="15" t="s">
        <v>99</v>
      </c>
      <c r="J62" s="17">
        <f>IFERROR(INDEX(Rates!$D$6:$D$15,MATCH(H62&amp;"|"&amp;I62,Rates!$C$6:$C$15,0)),0)</f>
        <v>120</v>
      </c>
      <c r="K62" s="18">
        <v>8</v>
      </c>
      <c r="L62" s="17">
        <f t="shared" si="1"/>
        <v>960</v>
      </c>
      <c r="M62" s="15" t="s">
        <v>625</v>
      </c>
    </row>
    <row r="63" spans="1:13">
      <c r="A63" s="7">
        <v>59</v>
      </c>
      <c r="B63" s="7"/>
      <c r="C63" s="7" t="s">
        <v>68</v>
      </c>
      <c r="D63" s="8" t="s">
        <v>311</v>
      </c>
      <c r="E63" s="7">
        <v>12</v>
      </c>
      <c r="F63" s="7" t="str">
        <f>IFERROR(INDEX(Categories!$B$5:$B$27,MATCH(E63,Categories!$A$5:$A$27,0)),"")</f>
        <v>E-Commerce</v>
      </c>
      <c r="G63" s="7" t="s">
        <v>978</v>
      </c>
      <c r="H63" s="7" t="s">
        <v>97</v>
      </c>
      <c r="I63" s="7" t="s">
        <v>99</v>
      </c>
      <c r="J63" s="13">
        <f>IFERROR(INDEX(Rates!$D$6:$D$15,MATCH(H63&amp;"|"&amp;I63,Rates!$C$6:$C$15,0)),0)</f>
        <v>120</v>
      </c>
      <c r="K63" s="14">
        <v>6</v>
      </c>
      <c r="L63" s="13">
        <f t="shared" si="1"/>
        <v>720</v>
      </c>
      <c r="M63" s="7" t="s">
        <v>629</v>
      </c>
    </row>
    <row r="64" spans="1:13" ht="25.5">
      <c r="A64" s="15">
        <v>60</v>
      </c>
      <c r="B64" s="15"/>
      <c r="C64" s="15" t="s">
        <v>68</v>
      </c>
      <c r="D64" s="16" t="s">
        <v>314</v>
      </c>
      <c r="E64" s="15">
        <v>12</v>
      </c>
      <c r="F64" s="15" t="str">
        <f>IFERROR(INDEX(Categories!$B$5:$B$27,MATCH(E64,Categories!$A$5:$A$27,0)),"")</f>
        <v>E-Commerce</v>
      </c>
      <c r="G64" s="15" t="s">
        <v>979</v>
      </c>
      <c r="H64" s="15" t="s">
        <v>97</v>
      </c>
      <c r="I64" s="15" t="s">
        <v>99</v>
      </c>
      <c r="J64" s="17">
        <f>IFERROR(INDEX(Rates!$D$6:$D$15,MATCH(H64&amp;"|"&amp;I64,Rates!$C$6:$C$15,0)),0)</f>
        <v>120</v>
      </c>
      <c r="K64" s="18">
        <v>10</v>
      </c>
      <c r="L64" s="17">
        <f t="shared" si="1"/>
        <v>1200</v>
      </c>
      <c r="M64" s="15" t="s">
        <v>980</v>
      </c>
    </row>
    <row r="65" spans="1:13">
      <c r="A65" s="7">
        <v>61</v>
      </c>
      <c r="B65" s="7"/>
      <c r="C65" s="7" t="s">
        <v>68</v>
      </c>
      <c r="D65" s="8" t="s">
        <v>317</v>
      </c>
      <c r="E65" s="7">
        <v>12</v>
      </c>
      <c r="F65" s="7" t="str">
        <f>IFERROR(INDEX(Categories!$B$5:$B$27,MATCH(E65,Categories!$A$5:$A$27,0)),"")</f>
        <v>E-Commerce</v>
      </c>
      <c r="G65" s="7" t="s">
        <v>981</v>
      </c>
      <c r="H65" s="7" t="s">
        <v>97</v>
      </c>
      <c r="I65" s="7" t="s">
        <v>99</v>
      </c>
      <c r="J65" s="13">
        <f>IFERROR(INDEX(Rates!$D$6:$D$15,MATCH(H65&amp;"|"&amp;I65,Rates!$C$6:$C$15,0)),0)</f>
        <v>120</v>
      </c>
      <c r="K65" s="14">
        <v>6</v>
      </c>
      <c r="L65" s="13">
        <f t="shared" si="1"/>
        <v>720</v>
      </c>
      <c r="M65" s="7" t="s">
        <v>637</v>
      </c>
    </row>
    <row r="66" spans="1:13">
      <c r="A66" s="15">
        <v>62</v>
      </c>
      <c r="B66" s="15"/>
      <c r="C66" s="15" t="s">
        <v>68</v>
      </c>
      <c r="D66" s="16" t="s">
        <v>320</v>
      </c>
      <c r="E66" s="15">
        <v>12</v>
      </c>
      <c r="F66" s="15" t="str">
        <f>IFERROR(INDEX(Categories!$B$5:$B$27,MATCH(E66,Categories!$A$5:$A$27,0)),"")</f>
        <v>E-Commerce</v>
      </c>
      <c r="G66" s="15" t="s">
        <v>321</v>
      </c>
      <c r="H66" s="15" t="s">
        <v>97</v>
      </c>
      <c r="I66" s="15" t="s">
        <v>99</v>
      </c>
      <c r="J66" s="17">
        <f>IFERROR(INDEX(Rates!$D$6:$D$15,MATCH(H66&amp;"|"&amp;I66,Rates!$C$6:$C$15,0)),0)</f>
        <v>120</v>
      </c>
      <c r="K66" s="18">
        <v>6</v>
      </c>
      <c r="L66" s="17">
        <f t="shared" si="1"/>
        <v>720</v>
      </c>
      <c r="M66" s="15" t="s">
        <v>634</v>
      </c>
    </row>
    <row r="67" spans="1:13">
      <c r="A67" s="7">
        <v>63</v>
      </c>
      <c r="B67" s="7"/>
      <c r="C67" s="7" t="s">
        <v>68</v>
      </c>
      <c r="D67" s="8" t="s">
        <v>323</v>
      </c>
      <c r="E67" s="7">
        <v>12</v>
      </c>
      <c r="F67" s="7" t="str">
        <f>IFERROR(INDEX(Categories!$B$5:$B$27,MATCH(E67,Categories!$A$5:$A$27,0)),"")</f>
        <v>E-Commerce</v>
      </c>
      <c r="G67" s="7" t="s">
        <v>982</v>
      </c>
      <c r="H67" s="7" t="s">
        <v>97</v>
      </c>
      <c r="I67" s="7" t="s">
        <v>99</v>
      </c>
      <c r="J67" s="13">
        <f>IFERROR(INDEX(Rates!$D$6:$D$15,MATCH(H67&amp;"|"&amp;I67,Rates!$C$6:$C$15,0)),0)</f>
        <v>120</v>
      </c>
      <c r="K67" s="14">
        <v>5</v>
      </c>
      <c r="L67" s="13">
        <f t="shared" si="1"/>
        <v>600</v>
      </c>
      <c r="M67" s="7" t="s">
        <v>640</v>
      </c>
    </row>
    <row r="68" spans="1:13" ht="25.5">
      <c r="A68" s="15">
        <v>64</v>
      </c>
      <c r="B68" s="15"/>
      <c r="C68" s="15" t="s">
        <v>68</v>
      </c>
      <c r="D68" s="16" t="s">
        <v>305</v>
      </c>
      <c r="E68" s="15">
        <v>12</v>
      </c>
      <c r="F68" s="15" t="str">
        <f>IFERROR(INDEX(Categories!$B$5:$B$27,MATCH(E68,Categories!$A$5:$A$27,0)),"")</f>
        <v>E-Commerce</v>
      </c>
      <c r="G68" s="15" t="s">
        <v>983</v>
      </c>
      <c r="H68" s="15" t="s">
        <v>97</v>
      </c>
      <c r="I68" s="15" t="s">
        <v>99</v>
      </c>
      <c r="J68" s="17">
        <f>IFERROR(INDEX(Rates!$D$6:$D$15,MATCH(H68&amp;"|"&amp;I68,Rates!$C$6:$C$15,0)),0)</f>
        <v>120</v>
      </c>
      <c r="K68" s="18">
        <v>6</v>
      </c>
      <c r="L68" s="17">
        <f t="shared" si="1"/>
        <v>720</v>
      </c>
      <c r="M68" s="15" t="s">
        <v>984</v>
      </c>
    </row>
    <row r="69" spans="1:13" ht="25.5">
      <c r="A69" s="7">
        <v>65</v>
      </c>
      <c r="B69" s="7"/>
      <c r="C69" s="7" t="s">
        <v>68</v>
      </c>
      <c r="D69" s="8" t="s">
        <v>985</v>
      </c>
      <c r="E69" s="7">
        <v>12</v>
      </c>
      <c r="F69" s="7" t="str">
        <f>IFERROR(INDEX(Categories!$B$5:$B$27,MATCH(E69,Categories!$A$5:$A$27,0)),"")</f>
        <v>E-Commerce</v>
      </c>
      <c r="G69" s="7" t="s">
        <v>986</v>
      </c>
      <c r="H69" s="7" t="s">
        <v>97</v>
      </c>
      <c r="I69" s="7" t="s">
        <v>99</v>
      </c>
      <c r="J69" s="13">
        <f>IFERROR(INDEX(Rates!$D$6:$D$15,MATCH(H69&amp;"|"&amp;I69,Rates!$C$6:$C$15,0)),0)</f>
        <v>120</v>
      </c>
      <c r="K69" s="14">
        <v>8</v>
      </c>
      <c r="L69" s="13">
        <f t="shared" ref="L69:L100" si="2">K69*J69</f>
        <v>960</v>
      </c>
      <c r="M69" s="7" t="s">
        <v>310</v>
      </c>
    </row>
    <row r="70" spans="1:13">
      <c r="A70" s="15">
        <v>66</v>
      </c>
      <c r="B70" s="15"/>
      <c r="C70" s="15" t="s">
        <v>355</v>
      </c>
      <c r="D70" s="16" t="s">
        <v>356</v>
      </c>
      <c r="E70" s="15">
        <v>5</v>
      </c>
      <c r="F70" s="15" t="str">
        <f>IFERROR(INDEX(Categories!$B$5:$B$27,MATCH(E70,Categories!$A$5:$A$27,0)),"")</f>
        <v>Custom Tools</v>
      </c>
      <c r="G70" s="15" t="s">
        <v>987</v>
      </c>
      <c r="H70" s="15" t="s">
        <v>97</v>
      </c>
      <c r="I70" s="15" t="s">
        <v>99</v>
      </c>
      <c r="J70" s="17">
        <f>IFERROR(INDEX(Rates!$D$6:$D$15,MATCH(H70&amp;"|"&amp;I70,Rates!$C$6:$C$15,0)),0)</f>
        <v>120</v>
      </c>
      <c r="K70" s="18">
        <v>15</v>
      </c>
      <c r="L70" s="17">
        <f t="shared" si="2"/>
        <v>1800</v>
      </c>
      <c r="M70" s="15"/>
    </row>
    <row r="71" spans="1:13">
      <c r="A71" s="7">
        <v>67</v>
      </c>
      <c r="B71" s="7"/>
      <c r="C71" s="7" t="s">
        <v>355</v>
      </c>
      <c r="D71" s="8" t="s">
        <v>359</v>
      </c>
      <c r="E71" s="7">
        <v>5</v>
      </c>
      <c r="F71" s="7" t="str">
        <f>IFERROR(INDEX(Categories!$B$5:$B$27,MATCH(E71,Categories!$A$5:$A$27,0)),"")</f>
        <v>Custom Tools</v>
      </c>
      <c r="G71" s="7" t="s">
        <v>988</v>
      </c>
      <c r="H71" s="7" t="s">
        <v>97</v>
      </c>
      <c r="I71" s="7" t="s">
        <v>99</v>
      </c>
      <c r="J71" s="13">
        <f>IFERROR(INDEX(Rates!$D$6:$D$15,MATCH(H71&amp;"|"&amp;I71,Rates!$C$6:$C$15,0)),0)</f>
        <v>120</v>
      </c>
      <c r="K71" s="14">
        <v>20</v>
      </c>
      <c r="L71" s="13">
        <f t="shared" si="2"/>
        <v>2400</v>
      </c>
      <c r="M71" s="7"/>
    </row>
    <row r="72" spans="1:13" ht="25.5">
      <c r="A72" s="15">
        <v>68</v>
      </c>
      <c r="B72" s="15"/>
      <c r="C72" s="15" t="s">
        <v>355</v>
      </c>
      <c r="D72" s="16" t="s">
        <v>362</v>
      </c>
      <c r="E72" s="15">
        <v>5</v>
      </c>
      <c r="F72" s="15" t="str">
        <f>IFERROR(INDEX(Categories!$B$5:$B$27,MATCH(E72,Categories!$A$5:$A$27,0)),"")</f>
        <v>Custom Tools</v>
      </c>
      <c r="G72" s="15" t="s">
        <v>989</v>
      </c>
      <c r="H72" s="15" t="s">
        <v>97</v>
      </c>
      <c r="I72" s="15" t="s">
        <v>99</v>
      </c>
      <c r="J72" s="17">
        <f>IFERROR(INDEX(Rates!$D$6:$D$15,MATCH(H72&amp;"|"&amp;I72,Rates!$C$6:$C$15,0)),0)</f>
        <v>120</v>
      </c>
      <c r="K72" s="18">
        <v>30</v>
      </c>
      <c r="L72" s="17">
        <f t="shared" si="2"/>
        <v>3600</v>
      </c>
      <c r="M72" s="15" t="s">
        <v>364</v>
      </c>
    </row>
    <row r="73" spans="1:13" ht="25.5">
      <c r="A73" s="7">
        <v>69</v>
      </c>
      <c r="B73" s="7"/>
      <c r="C73" s="7" t="s">
        <v>365</v>
      </c>
      <c r="D73" s="8" t="s">
        <v>366</v>
      </c>
      <c r="E73" s="7">
        <v>5</v>
      </c>
      <c r="F73" s="7" t="str">
        <f>IFERROR(INDEX(Categories!$B$5:$B$27,MATCH(E73,Categories!$A$5:$A$27,0)),"")</f>
        <v>Custom Tools</v>
      </c>
      <c r="G73" s="7" t="s">
        <v>990</v>
      </c>
      <c r="H73" s="7" t="s">
        <v>97</v>
      </c>
      <c r="I73" s="7" t="s">
        <v>99</v>
      </c>
      <c r="J73" s="13">
        <f>IFERROR(INDEX(Rates!$D$6:$D$15,MATCH(H73&amp;"|"&amp;I73,Rates!$C$6:$C$15,0)),0)</f>
        <v>120</v>
      </c>
      <c r="K73" s="14">
        <v>30</v>
      </c>
      <c r="L73" s="13">
        <f t="shared" si="2"/>
        <v>3600</v>
      </c>
      <c r="M73" s="7" t="s">
        <v>368</v>
      </c>
    </row>
    <row r="74" spans="1:13">
      <c r="A74" s="15">
        <v>70</v>
      </c>
      <c r="B74" s="15"/>
      <c r="C74" s="15" t="s">
        <v>365</v>
      </c>
      <c r="D74" s="16" t="s">
        <v>369</v>
      </c>
      <c r="E74" s="15">
        <v>5</v>
      </c>
      <c r="F74" s="15" t="str">
        <f>IFERROR(INDEX(Categories!$B$5:$B$27,MATCH(E74,Categories!$A$5:$A$27,0)),"")</f>
        <v>Custom Tools</v>
      </c>
      <c r="G74" s="15" t="s">
        <v>991</v>
      </c>
      <c r="H74" s="15" t="s">
        <v>97</v>
      </c>
      <c r="I74" s="15" t="s">
        <v>99</v>
      </c>
      <c r="J74" s="17">
        <f>IFERROR(INDEX(Rates!$D$6:$D$15,MATCH(H74&amp;"|"&amp;I74,Rates!$C$6:$C$15,0)),0)</f>
        <v>120</v>
      </c>
      <c r="K74" s="18">
        <v>30</v>
      </c>
      <c r="L74" s="17">
        <f t="shared" si="2"/>
        <v>3600</v>
      </c>
      <c r="M74" s="15" t="s">
        <v>371</v>
      </c>
    </row>
    <row r="75" spans="1:13">
      <c r="A75" s="7">
        <v>71</v>
      </c>
      <c r="B75" s="7"/>
      <c r="C75" s="7" t="s">
        <v>365</v>
      </c>
      <c r="D75" s="8" t="s">
        <v>372</v>
      </c>
      <c r="E75" s="7">
        <v>5</v>
      </c>
      <c r="F75" s="7" t="str">
        <f>IFERROR(INDEX(Categories!$B$5:$B$27,MATCH(E75,Categories!$A$5:$A$27,0)),"")</f>
        <v>Custom Tools</v>
      </c>
      <c r="G75" s="7" t="s">
        <v>992</v>
      </c>
      <c r="H75" s="7" t="s">
        <v>97</v>
      </c>
      <c r="I75" s="7" t="s">
        <v>99</v>
      </c>
      <c r="J75" s="13">
        <f>IFERROR(INDEX(Rates!$D$6:$D$15,MATCH(H75&amp;"|"&amp;I75,Rates!$C$6:$C$15,0)),0)</f>
        <v>120</v>
      </c>
      <c r="K75" s="14">
        <v>40</v>
      </c>
      <c r="L75" s="13">
        <f t="shared" si="2"/>
        <v>4800</v>
      </c>
      <c r="M75" s="7" t="s">
        <v>993</v>
      </c>
    </row>
    <row r="76" spans="1:13" ht="25.5">
      <c r="A76" s="15">
        <v>72</v>
      </c>
      <c r="B76" s="15"/>
      <c r="C76" s="15" t="s">
        <v>994</v>
      </c>
      <c r="D76" s="16" t="s">
        <v>995</v>
      </c>
      <c r="E76" s="15">
        <v>5</v>
      </c>
      <c r="F76" s="15" t="str">
        <f>IFERROR(INDEX(Categories!$B$5:$B$27,MATCH(E76,Categories!$A$5:$A$27,0)),"")</f>
        <v>Custom Tools</v>
      </c>
      <c r="G76" s="15" t="s">
        <v>996</v>
      </c>
      <c r="H76" s="15" t="s">
        <v>97</v>
      </c>
      <c r="I76" s="15" t="s">
        <v>99</v>
      </c>
      <c r="J76" s="17">
        <f>IFERROR(INDEX(Rates!$D$6:$D$15,MATCH(H76&amp;"|"&amp;I76,Rates!$C$6:$C$15,0)),0)</f>
        <v>120</v>
      </c>
      <c r="K76" s="18">
        <v>50</v>
      </c>
      <c r="L76" s="17">
        <f t="shared" si="2"/>
        <v>6000</v>
      </c>
      <c r="M76" s="15" t="s">
        <v>997</v>
      </c>
    </row>
    <row r="77" spans="1:13" ht="25.5">
      <c r="A77" s="7">
        <v>73</v>
      </c>
      <c r="B77" s="7"/>
      <c r="C77" s="7" t="s">
        <v>385</v>
      </c>
      <c r="D77" s="8" t="s">
        <v>392</v>
      </c>
      <c r="E77" s="7">
        <v>5</v>
      </c>
      <c r="F77" s="7" t="str">
        <f>IFERROR(INDEX(Categories!$B$5:$B$27,MATCH(E77,Categories!$A$5:$A$27,0)),"")</f>
        <v>Custom Tools</v>
      </c>
      <c r="G77" s="7" t="s">
        <v>998</v>
      </c>
      <c r="H77" s="7" t="s">
        <v>97</v>
      </c>
      <c r="I77" s="7" t="s">
        <v>99</v>
      </c>
      <c r="J77" s="13">
        <f>IFERROR(INDEX(Rates!$D$6:$D$15,MATCH(H77&amp;"|"&amp;I77,Rates!$C$6:$C$15,0)),0)</f>
        <v>120</v>
      </c>
      <c r="K77" s="14">
        <v>40</v>
      </c>
      <c r="L77" s="13">
        <f t="shared" si="2"/>
        <v>4800</v>
      </c>
      <c r="M77" s="7" t="s">
        <v>394</v>
      </c>
    </row>
    <row r="78" spans="1:13">
      <c r="A78" s="15">
        <v>74</v>
      </c>
      <c r="B78" s="15"/>
      <c r="C78" s="15" t="s">
        <v>385</v>
      </c>
      <c r="D78" s="16" t="s">
        <v>999</v>
      </c>
      <c r="E78" s="15">
        <v>5</v>
      </c>
      <c r="F78" s="15" t="str">
        <f>IFERROR(INDEX(Categories!$B$5:$B$27,MATCH(E78,Categories!$A$5:$A$27,0)),"")</f>
        <v>Custom Tools</v>
      </c>
      <c r="G78" s="15" t="s">
        <v>1000</v>
      </c>
      <c r="H78" s="15" t="s">
        <v>97</v>
      </c>
      <c r="I78" s="15" t="s">
        <v>99</v>
      </c>
      <c r="J78" s="17">
        <f>IFERROR(INDEX(Rates!$D$6:$D$15,MATCH(H78&amp;"|"&amp;I78,Rates!$C$6:$C$15,0)),0)</f>
        <v>120</v>
      </c>
      <c r="K78" s="18">
        <v>40</v>
      </c>
      <c r="L78" s="17">
        <f t="shared" si="2"/>
        <v>4800</v>
      </c>
      <c r="M78" s="15" t="s">
        <v>1001</v>
      </c>
    </row>
    <row r="79" spans="1:13" ht="25.5">
      <c r="A79" s="7">
        <v>75</v>
      </c>
      <c r="B79" s="7"/>
      <c r="C79" s="7" t="s">
        <v>398</v>
      </c>
      <c r="D79" s="8" t="s">
        <v>1002</v>
      </c>
      <c r="E79" s="7">
        <v>5</v>
      </c>
      <c r="F79" s="7" t="str">
        <f>IFERROR(INDEX(Categories!$B$5:$B$27,MATCH(E79,Categories!$A$5:$A$27,0)),"")</f>
        <v>Custom Tools</v>
      </c>
      <c r="G79" s="7" t="s">
        <v>1003</v>
      </c>
      <c r="H79" s="7" t="s">
        <v>97</v>
      </c>
      <c r="I79" s="7" t="s">
        <v>99</v>
      </c>
      <c r="J79" s="13">
        <f>IFERROR(INDEX(Rates!$D$6:$D$15,MATCH(H79&amp;"|"&amp;I79,Rates!$C$6:$C$15,0)),0)</f>
        <v>120</v>
      </c>
      <c r="K79" s="14">
        <v>12</v>
      </c>
      <c r="L79" s="13">
        <f t="shared" si="2"/>
        <v>1440</v>
      </c>
      <c r="M79" s="7" t="s">
        <v>401</v>
      </c>
    </row>
    <row r="80" spans="1:13">
      <c r="A80" s="15">
        <v>76</v>
      </c>
      <c r="B80" s="15"/>
      <c r="C80" s="15" t="s">
        <v>398</v>
      </c>
      <c r="D80" s="16" t="s">
        <v>402</v>
      </c>
      <c r="E80" s="15">
        <v>5</v>
      </c>
      <c r="F80" s="15" t="str">
        <f>IFERROR(INDEX(Categories!$B$5:$B$27,MATCH(E80,Categories!$A$5:$A$27,0)),"")</f>
        <v>Custom Tools</v>
      </c>
      <c r="G80" s="15" t="s">
        <v>1004</v>
      </c>
      <c r="H80" s="15" t="s">
        <v>97</v>
      </c>
      <c r="I80" s="15" t="s">
        <v>99</v>
      </c>
      <c r="J80" s="17">
        <f>IFERROR(INDEX(Rates!$D$6:$D$15,MATCH(H80&amp;"|"&amp;I80,Rates!$C$6:$C$15,0)),0)</f>
        <v>120</v>
      </c>
      <c r="K80" s="18">
        <v>15</v>
      </c>
      <c r="L80" s="17">
        <f t="shared" si="2"/>
        <v>1800</v>
      </c>
      <c r="M80" s="15" t="s">
        <v>404</v>
      </c>
    </row>
    <row r="81" spans="1:13">
      <c r="A81" s="7">
        <v>77</v>
      </c>
      <c r="B81" s="7"/>
      <c r="C81" s="7" t="s">
        <v>398</v>
      </c>
      <c r="D81" s="8" t="s">
        <v>405</v>
      </c>
      <c r="E81" s="7">
        <v>5</v>
      </c>
      <c r="F81" s="7" t="str">
        <f>IFERROR(INDEX(Categories!$B$5:$B$27,MATCH(E81,Categories!$A$5:$A$27,0)),"")</f>
        <v>Custom Tools</v>
      </c>
      <c r="G81" s="7" t="s">
        <v>1005</v>
      </c>
      <c r="H81" s="7" t="s">
        <v>97</v>
      </c>
      <c r="I81" s="7" t="s">
        <v>99</v>
      </c>
      <c r="J81" s="13">
        <f>IFERROR(INDEX(Rates!$D$6:$D$15,MATCH(H81&amp;"|"&amp;I81,Rates!$C$6:$C$15,0)),0)</f>
        <v>120</v>
      </c>
      <c r="K81" s="14">
        <v>12</v>
      </c>
      <c r="L81" s="13">
        <f t="shared" si="2"/>
        <v>1440</v>
      </c>
      <c r="M81" s="7"/>
    </row>
    <row r="82" spans="1:13">
      <c r="A82" s="15">
        <v>78</v>
      </c>
      <c r="B82" s="15"/>
      <c r="C82" s="15" t="s">
        <v>398</v>
      </c>
      <c r="D82" s="16" t="s">
        <v>407</v>
      </c>
      <c r="E82" s="15">
        <v>5</v>
      </c>
      <c r="F82" s="15" t="str">
        <f>IFERROR(INDEX(Categories!$B$5:$B$27,MATCH(E82,Categories!$A$5:$A$27,0)),"")</f>
        <v>Custom Tools</v>
      </c>
      <c r="G82" s="15" t="s">
        <v>1006</v>
      </c>
      <c r="H82" s="15" t="s">
        <v>97</v>
      </c>
      <c r="I82" s="15" t="s">
        <v>99</v>
      </c>
      <c r="J82" s="17">
        <f>IFERROR(INDEX(Rates!$D$6:$D$15,MATCH(H82&amp;"|"&amp;I82,Rates!$C$6:$C$15,0)),0)</f>
        <v>120</v>
      </c>
      <c r="K82" s="18">
        <v>40</v>
      </c>
      <c r="L82" s="17">
        <f t="shared" si="2"/>
        <v>4800</v>
      </c>
      <c r="M82" s="15" t="s">
        <v>409</v>
      </c>
    </row>
    <row r="83" spans="1:13" ht="25.5">
      <c r="A83" s="7">
        <v>79</v>
      </c>
      <c r="B83" s="7"/>
      <c r="C83" s="7" t="s">
        <v>80</v>
      </c>
      <c r="D83" s="8" t="s">
        <v>1007</v>
      </c>
      <c r="E83" s="7">
        <v>18</v>
      </c>
      <c r="F83" s="7" t="str">
        <f>IFERROR(INDEX(Categories!$B$5:$B$27,MATCH(E83,Categories!$A$5:$A$27,0)),"")</f>
        <v>Performance &amp; Security</v>
      </c>
      <c r="G83" s="7" t="s">
        <v>1008</v>
      </c>
      <c r="H83" s="7" t="s">
        <v>97</v>
      </c>
      <c r="I83" s="7" t="s">
        <v>98</v>
      </c>
      <c r="J83" s="13">
        <f>IFERROR(INDEX(Rates!$D$6:$D$15,MATCH(H83&amp;"|"&amp;I83,Rates!$C$6:$C$15,0)),0)</f>
        <v>100</v>
      </c>
      <c r="K83" s="14">
        <v>1</v>
      </c>
      <c r="L83" s="13">
        <f t="shared" si="2"/>
        <v>100</v>
      </c>
      <c r="M83" s="7" t="s">
        <v>412</v>
      </c>
    </row>
    <row r="84" spans="1:13" ht="25.5">
      <c r="A84" s="15">
        <v>80</v>
      </c>
      <c r="B84" s="15"/>
      <c r="C84" s="15" t="s">
        <v>80</v>
      </c>
      <c r="D84" s="16" t="s">
        <v>1009</v>
      </c>
      <c r="E84" s="15">
        <v>18</v>
      </c>
      <c r="F84" s="15" t="str">
        <f>IFERROR(INDEX(Categories!$B$5:$B$27,MATCH(E84,Categories!$A$5:$A$27,0)),"")</f>
        <v>Performance &amp; Security</v>
      </c>
      <c r="G84" s="15" t="s">
        <v>1010</v>
      </c>
      <c r="H84" s="15" t="s">
        <v>97</v>
      </c>
      <c r="I84" s="15" t="s">
        <v>99</v>
      </c>
      <c r="J84" s="17">
        <f>IFERROR(INDEX(Rates!$D$6:$D$15,MATCH(H84&amp;"|"&amp;I84,Rates!$C$6:$C$15,0)),0)</f>
        <v>120</v>
      </c>
      <c r="K84" s="18">
        <v>10</v>
      </c>
      <c r="L84" s="17">
        <f t="shared" si="2"/>
        <v>1200</v>
      </c>
      <c r="M84" s="15" t="s">
        <v>1011</v>
      </c>
    </row>
    <row r="85" spans="1:13" ht="25.5">
      <c r="A85" s="7">
        <v>81</v>
      </c>
      <c r="B85" s="7"/>
      <c r="C85" s="7" t="s">
        <v>80</v>
      </c>
      <c r="D85" s="8" t="s">
        <v>416</v>
      </c>
      <c r="E85" s="7">
        <v>18</v>
      </c>
      <c r="F85" s="7" t="str">
        <f>IFERROR(INDEX(Categories!$B$5:$B$27,MATCH(E85,Categories!$A$5:$A$27,0)),"")</f>
        <v>Performance &amp; Security</v>
      </c>
      <c r="G85" s="7" t="s">
        <v>1012</v>
      </c>
      <c r="H85" s="7" t="s">
        <v>97</v>
      </c>
      <c r="I85" s="7" t="s">
        <v>98</v>
      </c>
      <c r="J85" s="13">
        <f>IFERROR(INDEX(Rates!$D$6:$D$15,MATCH(H85&amp;"|"&amp;I85,Rates!$C$6:$C$15,0)),0)</f>
        <v>100</v>
      </c>
      <c r="K85" s="14">
        <v>4</v>
      </c>
      <c r="L85" s="13">
        <f t="shared" si="2"/>
        <v>400</v>
      </c>
      <c r="M85" s="7" t="s">
        <v>1013</v>
      </c>
    </row>
    <row r="86" spans="1:13" ht="25.5">
      <c r="A86" s="15">
        <v>82</v>
      </c>
      <c r="B86" s="15"/>
      <c r="C86" s="15" t="s">
        <v>419</v>
      </c>
      <c r="D86" s="16" t="s">
        <v>420</v>
      </c>
      <c r="E86" s="15">
        <v>4</v>
      </c>
      <c r="F86" s="15" t="str">
        <f>IFERROR(INDEX(Categories!$B$5:$B$27,MATCH(E86,Categories!$A$5:$A$27,0)),"")</f>
        <v>Conversion Tracking</v>
      </c>
      <c r="G86" s="15" t="s">
        <v>1014</v>
      </c>
      <c r="H86" s="15" t="s">
        <v>97</v>
      </c>
      <c r="I86" s="15" t="s">
        <v>98</v>
      </c>
      <c r="J86" s="17">
        <f>IFERROR(INDEX(Rates!$D$6:$D$15,MATCH(H86&amp;"|"&amp;I86,Rates!$C$6:$C$15,0)),0)</f>
        <v>100</v>
      </c>
      <c r="K86" s="18">
        <v>2</v>
      </c>
      <c r="L86" s="17">
        <f t="shared" si="2"/>
        <v>200</v>
      </c>
      <c r="M86" s="15" t="s">
        <v>422</v>
      </c>
    </row>
    <row r="87" spans="1:13">
      <c r="A87" s="7">
        <v>83</v>
      </c>
      <c r="B87" s="7"/>
      <c r="C87" s="7" t="s">
        <v>419</v>
      </c>
      <c r="D87" s="8" t="s">
        <v>423</v>
      </c>
      <c r="E87" s="7">
        <v>4</v>
      </c>
      <c r="F87" s="7" t="str">
        <f>IFERROR(INDEX(Categories!$B$5:$B$27,MATCH(E87,Categories!$A$5:$A$27,0)),"")</f>
        <v>Conversion Tracking</v>
      </c>
      <c r="G87" s="7" t="s">
        <v>1015</v>
      </c>
      <c r="H87" s="7" t="s">
        <v>97</v>
      </c>
      <c r="I87" s="7" t="s">
        <v>98</v>
      </c>
      <c r="J87" s="13">
        <f>IFERROR(INDEX(Rates!$D$6:$D$15,MATCH(H87&amp;"|"&amp;I87,Rates!$C$6:$C$15,0)),0)</f>
        <v>100</v>
      </c>
      <c r="K87" s="14">
        <v>3</v>
      </c>
      <c r="L87" s="13">
        <f t="shared" si="2"/>
        <v>300</v>
      </c>
      <c r="M87" s="7" t="s">
        <v>425</v>
      </c>
    </row>
    <row r="88" spans="1:13" ht="25.5">
      <c r="A88" s="15">
        <v>84</v>
      </c>
      <c r="B88" s="15"/>
      <c r="C88" s="15" t="s">
        <v>419</v>
      </c>
      <c r="D88" s="16" t="s">
        <v>426</v>
      </c>
      <c r="E88" s="15">
        <v>4</v>
      </c>
      <c r="F88" s="15" t="str">
        <f>IFERROR(INDEX(Categories!$B$5:$B$27,MATCH(E88,Categories!$A$5:$A$27,0)),"")</f>
        <v>Conversion Tracking</v>
      </c>
      <c r="G88" s="15" t="s">
        <v>1016</v>
      </c>
      <c r="H88" s="15" t="s">
        <v>97</v>
      </c>
      <c r="I88" s="15" t="s">
        <v>98</v>
      </c>
      <c r="J88" s="17">
        <f>IFERROR(INDEX(Rates!$D$6:$D$15,MATCH(H88&amp;"|"&amp;I88,Rates!$C$6:$C$15,0)),0)</f>
        <v>100</v>
      </c>
      <c r="K88" s="18">
        <v>2</v>
      </c>
      <c r="L88" s="17">
        <f t="shared" si="2"/>
        <v>200</v>
      </c>
      <c r="M88" s="15" t="s">
        <v>657</v>
      </c>
    </row>
    <row r="89" spans="1:13">
      <c r="A89" s="7">
        <v>85</v>
      </c>
      <c r="B89" s="7"/>
      <c r="C89" s="7" t="s">
        <v>429</v>
      </c>
      <c r="D89" s="8" t="s">
        <v>1017</v>
      </c>
      <c r="E89" s="7">
        <v>22</v>
      </c>
      <c r="F89" s="7" t="str">
        <f>IFERROR(INDEX(Categories!$B$5:$B$27,MATCH(E89,Categories!$A$5:$A$27,0)),"")</f>
        <v>SEO &amp; Content</v>
      </c>
      <c r="G89" s="7" t="s">
        <v>1018</v>
      </c>
      <c r="H89" s="7" t="s">
        <v>97</v>
      </c>
      <c r="I89" s="7" t="s">
        <v>98</v>
      </c>
      <c r="J89" s="13">
        <f>IFERROR(INDEX(Rates!$D$6:$D$15,MATCH(H89&amp;"|"&amp;I89,Rates!$C$6:$C$15,0)),0)</f>
        <v>100</v>
      </c>
      <c r="K89" s="14">
        <v>4</v>
      </c>
      <c r="L89" s="13">
        <f t="shared" si="2"/>
        <v>400</v>
      </c>
      <c r="M89" s="7"/>
    </row>
    <row r="90" spans="1:13">
      <c r="A90" s="15">
        <v>86</v>
      </c>
      <c r="B90" s="15"/>
      <c r="C90" s="15" t="s">
        <v>429</v>
      </c>
      <c r="D90" s="16" t="s">
        <v>433</v>
      </c>
      <c r="E90" s="15">
        <v>22</v>
      </c>
      <c r="F90" s="15" t="str">
        <f>IFERROR(INDEX(Categories!$B$5:$B$27,MATCH(E90,Categories!$A$5:$A$27,0)),"")</f>
        <v>SEO &amp; Content</v>
      </c>
      <c r="G90" s="15" t="s">
        <v>1019</v>
      </c>
      <c r="H90" s="15" t="s">
        <v>97</v>
      </c>
      <c r="I90" s="15" t="s">
        <v>98</v>
      </c>
      <c r="J90" s="17">
        <f>IFERROR(INDEX(Rates!$D$6:$D$15,MATCH(H90&amp;"|"&amp;I90,Rates!$C$6:$C$15,0)),0)</f>
        <v>100</v>
      </c>
      <c r="K90" s="18">
        <v>3</v>
      </c>
      <c r="L90" s="17">
        <f t="shared" si="2"/>
        <v>300</v>
      </c>
      <c r="M90" s="15"/>
    </row>
    <row r="91" spans="1:13">
      <c r="A91" s="7">
        <v>87</v>
      </c>
      <c r="B91" s="7"/>
      <c r="C91" s="7" t="s">
        <v>429</v>
      </c>
      <c r="D91" s="8" t="s">
        <v>1020</v>
      </c>
      <c r="E91" s="7">
        <v>22</v>
      </c>
      <c r="F91" s="7" t="str">
        <f>IFERROR(INDEX(Categories!$B$5:$B$27,MATCH(E91,Categories!$A$5:$A$27,0)),"")</f>
        <v>SEO &amp; Content</v>
      </c>
      <c r="G91" s="7" t="s">
        <v>663</v>
      </c>
      <c r="H91" s="7" t="s">
        <v>97</v>
      </c>
      <c r="I91" s="7" t="s">
        <v>98</v>
      </c>
      <c r="J91" s="13">
        <f>IFERROR(INDEX(Rates!$D$6:$D$15,MATCH(H91&amp;"|"&amp;I91,Rates!$C$6:$C$15,0)),0)</f>
        <v>100</v>
      </c>
      <c r="K91" s="14">
        <v>2</v>
      </c>
      <c r="L91" s="13">
        <f t="shared" si="2"/>
        <v>200</v>
      </c>
      <c r="M91" s="7"/>
    </row>
    <row r="92" spans="1:13" ht="25.5">
      <c r="A92" s="15">
        <v>88</v>
      </c>
      <c r="B92" s="15"/>
      <c r="C92" s="15" t="s">
        <v>84</v>
      </c>
      <c r="D92" s="16" t="s">
        <v>1021</v>
      </c>
      <c r="E92" s="15">
        <v>22</v>
      </c>
      <c r="F92" s="15" t="str">
        <f>IFERROR(INDEX(Categories!$B$5:$B$27,MATCH(E92,Categories!$A$5:$A$27,0)),"")</f>
        <v>SEO &amp; Content</v>
      </c>
      <c r="G92" s="15" t="s">
        <v>807</v>
      </c>
      <c r="H92" s="15" t="s">
        <v>97</v>
      </c>
      <c r="I92" s="15" t="s">
        <v>98</v>
      </c>
      <c r="J92" s="17">
        <f>IFERROR(INDEX(Rates!$D$6:$D$15,MATCH(H92&amp;"|"&amp;I92,Rates!$C$6:$C$15,0)),0)</f>
        <v>100</v>
      </c>
      <c r="K92" s="18">
        <v>4</v>
      </c>
      <c r="L92" s="17">
        <f t="shared" si="2"/>
        <v>400</v>
      </c>
      <c r="M92" s="15" t="s">
        <v>441</v>
      </c>
    </row>
    <row r="93" spans="1:13" ht="25.5">
      <c r="A93" s="7">
        <v>89</v>
      </c>
      <c r="B93" s="7"/>
      <c r="C93" s="7" t="s">
        <v>84</v>
      </c>
      <c r="D93" s="8" t="s">
        <v>442</v>
      </c>
      <c r="E93" s="7">
        <v>24</v>
      </c>
      <c r="F93" s="7" t="str">
        <f>IFERROR(INDEX(Categories!$B$5:$B$27,MATCH(E93,Categories!$A$5:$A$27,0)),"")</f>
        <v>SEO on-page</v>
      </c>
      <c r="G93" s="7" t="s">
        <v>1022</v>
      </c>
      <c r="H93" s="7" t="s">
        <v>97</v>
      </c>
      <c r="I93" s="7" t="s">
        <v>99</v>
      </c>
      <c r="J93" s="13">
        <f>IFERROR(INDEX(Rates!$D$6:$D$15,MATCH(H93&amp;"|"&amp;I93,Rates!$C$6:$C$15,0)),0)</f>
        <v>120</v>
      </c>
      <c r="K93" s="14">
        <v>4</v>
      </c>
      <c r="L93" s="13">
        <f t="shared" si="2"/>
        <v>480</v>
      </c>
      <c r="M93" s="7" t="s">
        <v>444</v>
      </c>
    </row>
    <row r="94" spans="1:13">
      <c r="A94" s="15">
        <v>90</v>
      </c>
      <c r="B94" s="15"/>
      <c r="C94" s="15" t="s">
        <v>84</v>
      </c>
      <c r="D94" s="16" t="s">
        <v>445</v>
      </c>
      <c r="E94" s="15">
        <v>24</v>
      </c>
      <c r="F94" s="15" t="str">
        <f>IFERROR(INDEX(Categories!$B$5:$B$27,MATCH(E94,Categories!$A$5:$A$27,0)),"")</f>
        <v>SEO on-page</v>
      </c>
      <c r="G94" s="15" t="s">
        <v>1023</v>
      </c>
      <c r="H94" s="15" t="s">
        <v>97</v>
      </c>
      <c r="I94" s="15" t="s">
        <v>98</v>
      </c>
      <c r="J94" s="17">
        <f>IFERROR(INDEX(Rates!$D$6:$D$15,MATCH(H94&amp;"|"&amp;I94,Rates!$C$6:$C$15,0)),0)</f>
        <v>100</v>
      </c>
      <c r="K94" s="18">
        <v>2</v>
      </c>
      <c r="L94" s="17">
        <f t="shared" si="2"/>
        <v>200</v>
      </c>
      <c r="M94" s="15"/>
    </row>
    <row r="95" spans="1:13">
      <c r="A95" s="7">
        <v>91</v>
      </c>
      <c r="B95" s="7"/>
      <c r="C95" s="7" t="s">
        <v>84</v>
      </c>
      <c r="D95" s="8" t="s">
        <v>447</v>
      </c>
      <c r="E95" s="7">
        <v>24</v>
      </c>
      <c r="F95" s="7" t="str">
        <f>IFERROR(INDEX(Categories!$B$5:$B$27,MATCH(E95,Categories!$A$5:$A$27,0)),"")</f>
        <v>SEO on-page</v>
      </c>
      <c r="G95" s="7" t="s">
        <v>1024</v>
      </c>
      <c r="H95" s="7" t="s">
        <v>97</v>
      </c>
      <c r="I95" s="7" t="s">
        <v>98</v>
      </c>
      <c r="J95" s="13">
        <f>IFERROR(INDEX(Rates!$D$6:$D$15,MATCH(H95&amp;"|"&amp;I95,Rates!$C$6:$C$15,0)),0)</f>
        <v>100</v>
      </c>
      <c r="K95" s="14">
        <v>1</v>
      </c>
      <c r="L95" s="13">
        <f t="shared" si="2"/>
        <v>100</v>
      </c>
      <c r="M95" s="7"/>
    </row>
    <row r="96" spans="1:13">
      <c r="A96" s="15">
        <v>92</v>
      </c>
      <c r="B96" s="15"/>
      <c r="C96" s="15" t="s">
        <v>84</v>
      </c>
      <c r="D96" s="16" t="s">
        <v>1025</v>
      </c>
      <c r="E96" s="15">
        <v>22</v>
      </c>
      <c r="F96" s="15" t="str">
        <f>IFERROR(INDEX(Categories!$B$5:$B$27,MATCH(E96,Categories!$A$5:$A$27,0)),"")</f>
        <v>SEO &amp; Content</v>
      </c>
      <c r="G96" s="15" t="s">
        <v>1026</v>
      </c>
      <c r="H96" s="15" t="s">
        <v>100</v>
      </c>
      <c r="I96" s="15" t="s">
        <v>98</v>
      </c>
      <c r="J96" s="17">
        <f>IFERROR(INDEX(Rates!$D$6:$D$15,MATCH(H96&amp;"|"&amp;I96,Rates!$C$6:$C$15,0)),0)</f>
        <v>100</v>
      </c>
      <c r="K96" s="18">
        <v>4</v>
      </c>
      <c r="L96" s="17">
        <f t="shared" si="2"/>
        <v>400</v>
      </c>
      <c r="M96" s="15" t="s">
        <v>451</v>
      </c>
    </row>
    <row r="97" spans="1:13">
      <c r="A97" s="7">
        <v>93</v>
      </c>
      <c r="B97" s="7"/>
      <c r="C97" s="7" t="s">
        <v>84</v>
      </c>
      <c r="D97" s="8" t="s">
        <v>1027</v>
      </c>
      <c r="E97" s="7">
        <v>22</v>
      </c>
      <c r="F97" s="7" t="str">
        <f>IFERROR(INDEX(Categories!$B$5:$B$27,MATCH(E97,Categories!$A$5:$A$27,0)),"")</f>
        <v>SEO &amp; Content</v>
      </c>
      <c r="G97" s="7" t="s">
        <v>1028</v>
      </c>
      <c r="H97" s="7" t="s">
        <v>100</v>
      </c>
      <c r="I97" s="7" t="s">
        <v>99</v>
      </c>
      <c r="J97" s="13">
        <f>IFERROR(INDEX(Rates!$D$6:$D$15,MATCH(H97&amp;"|"&amp;I97,Rates!$C$6:$C$15,0)),0)</f>
        <v>130</v>
      </c>
      <c r="K97" s="14">
        <v>6</v>
      </c>
      <c r="L97" s="13">
        <f t="shared" si="2"/>
        <v>780</v>
      </c>
      <c r="M97" s="7" t="s">
        <v>680</v>
      </c>
    </row>
    <row r="98" spans="1:13">
      <c r="A98" s="15">
        <v>94</v>
      </c>
      <c r="B98" s="15"/>
      <c r="C98" s="15" t="s">
        <v>84</v>
      </c>
      <c r="D98" s="16" t="s">
        <v>673</v>
      </c>
      <c r="E98" s="15">
        <v>24</v>
      </c>
      <c r="F98" s="15" t="str">
        <f>IFERROR(INDEX(Categories!$B$5:$B$27,MATCH(E98,Categories!$A$5:$A$27,0)),"")</f>
        <v>SEO on-page</v>
      </c>
      <c r="G98" s="15" t="s">
        <v>1029</v>
      </c>
      <c r="H98" s="15" t="s">
        <v>97</v>
      </c>
      <c r="I98" s="15" t="s">
        <v>98</v>
      </c>
      <c r="J98" s="17">
        <f>IFERROR(INDEX(Rates!$D$6:$D$15,MATCH(H98&amp;"|"&amp;I98,Rates!$C$6:$C$15,0)),0)</f>
        <v>100</v>
      </c>
      <c r="K98" s="18">
        <v>2</v>
      </c>
      <c r="L98" s="17">
        <f t="shared" si="2"/>
        <v>200</v>
      </c>
      <c r="M98" s="15" t="s">
        <v>675</v>
      </c>
    </row>
    <row r="99" spans="1:13" ht="25.5">
      <c r="A99" s="7">
        <v>95</v>
      </c>
      <c r="B99" s="7"/>
      <c r="C99" s="7" t="s">
        <v>70</v>
      </c>
      <c r="D99" s="8" t="s">
        <v>1030</v>
      </c>
      <c r="E99" s="7">
        <v>13</v>
      </c>
      <c r="F99" s="7" t="str">
        <f>IFERROR(INDEX(Categories!$B$5:$B$27,MATCH(E99,Categories!$A$5:$A$27,0)),"")</f>
        <v>Environment Setup</v>
      </c>
      <c r="G99" s="7" t="s">
        <v>1031</v>
      </c>
      <c r="H99" s="7" t="s">
        <v>97</v>
      </c>
      <c r="I99" s="7" t="s">
        <v>99</v>
      </c>
      <c r="J99" s="13">
        <f>IFERROR(INDEX(Rates!$D$6:$D$15,MATCH(H99&amp;"|"&amp;I99,Rates!$C$6:$C$15,0)),0)</f>
        <v>120</v>
      </c>
      <c r="K99" s="14">
        <v>4</v>
      </c>
      <c r="L99" s="13">
        <f t="shared" si="2"/>
        <v>480</v>
      </c>
      <c r="M99" s="7" t="s">
        <v>1032</v>
      </c>
    </row>
    <row r="100" spans="1:13" ht="25.5">
      <c r="A100" s="15">
        <v>96</v>
      </c>
      <c r="B100" s="15"/>
      <c r="C100" s="15" t="s">
        <v>70</v>
      </c>
      <c r="D100" s="16" t="s">
        <v>1033</v>
      </c>
      <c r="E100" s="15">
        <v>13</v>
      </c>
      <c r="F100" s="15" t="str">
        <f>IFERROR(INDEX(Categories!$B$5:$B$27,MATCH(E100,Categories!$A$5:$A$27,0)),"")</f>
        <v>Environment Setup</v>
      </c>
      <c r="G100" s="15" t="s">
        <v>1034</v>
      </c>
      <c r="H100" s="15" t="s">
        <v>97</v>
      </c>
      <c r="I100" s="15" t="s">
        <v>98</v>
      </c>
      <c r="J100" s="17">
        <f>IFERROR(INDEX(Rates!$D$6:$D$15,MATCH(H100&amp;"|"&amp;I100,Rates!$C$6:$C$15,0)),0)</f>
        <v>100</v>
      </c>
      <c r="K100" s="18">
        <v>3</v>
      </c>
      <c r="L100" s="17">
        <f t="shared" si="2"/>
        <v>300</v>
      </c>
      <c r="M100" s="15" t="s">
        <v>1035</v>
      </c>
    </row>
    <row r="101" spans="1:13" ht="25.5">
      <c r="A101" s="7">
        <v>97</v>
      </c>
      <c r="B101" s="7"/>
      <c r="C101" s="7" t="s">
        <v>70</v>
      </c>
      <c r="D101" s="8" t="s">
        <v>1036</v>
      </c>
      <c r="E101" s="7">
        <v>2</v>
      </c>
      <c r="F101" s="7" t="str">
        <f>IFERROR(INDEX(Categories!$B$5:$B$27,MATCH(E101,Categories!$A$5:$A$27,0)),"")</f>
        <v>Backend</v>
      </c>
      <c r="G101" s="7" t="s">
        <v>1037</v>
      </c>
      <c r="H101" s="7" t="s">
        <v>97</v>
      </c>
      <c r="I101" s="7" t="s">
        <v>99</v>
      </c>
      <c r="J101" s="13">
        <f>IFERROR(INDEX(Rates!$D$6:$D$15,MATCH(H101&amp;"|"&amp;I101,Rates!$C$6:$C$15,0)),0)</f>
        <v>120</v>
      </c>
      <c r="K101" s="14">
        <v>4</v>
      </c>
      <c r="L101" s="13">
        <f t="shared" ref="L101:L132" si="3">K101*J101</f>
        <v>480</v>
      </c>
      <c r="M101" s="7" t="s">
        <v>1038</v>
      </c>
    </row>
    <row r="102" spans="1:13">
      <c r="A102" s="15">
        <v>98</v>
      </c>
      <c r="B102" s="15"/>
      <c r="C102" s="15" t="s">
        <v>70</v>
      </c>
      <c r="D102" s="16" t="s">
        <v>1039</v>
      </c>
      <c r="E102" s="15">
        <v>7</v>
      </c>
      <c r="F102" s="15" t="str">
        <f>IFERROR(INDEX(Categories!$B$5:$B$27,MATCH(E102,Categories!$A$5:$A$27,0)),"")</f>
        <v>Database</v>
      </c>
      <c r="G102" s="15" t="s">
        <v>1040</v>
      </c>
      <c r="H102" s="15" t="s">
        <v>97</v>
      </c>
      <c r="I102" s="15" t="s">
        <v>99</v>
      </c>
      <c r="J102" s="17">
        <f>IFERROR(INDEX(Rates!$D$6:$D$15,MATCH(H102&amp;"|"&amp;I102,Rates!$C$6:$C$15,0)),0)</f>
        <v>120</v>
      </c>
      <c r="K102" s="18">
        <v>4</v>
      </c>
      <c r="L102" s="17">
        <f t="shared" si="3"/>
        <v>480</v>
      </c>
      <c r="M102" s="15" t="s">
        <v>1041</v>
      </c>
    </row>
    <row r="103" spans="1:13" ht="25.5">
      <c r="A103" s="7">
        <v>99</v>
      </c>
      <c r="B103" s="7"/>
      <c r="C103" s="7" t="s">
        <v>70</v>
      </c>
      <c r="D103" s="8" t="s">
        <v>1042</v>
      </c>
      <c r="E103" s="7">
        <v>2</v>
      </c>
      <c r="F103" s="7" t="str">
        <f>IFERROR(INDEX(Categories!$B$5:$B$27,MATCH(E103,Categories!$A$5:$A$27,0)),"")</f>
        <v>Backend</v>
      </c>
      <c r="G103" s="7" t="s">
        <v>1043</v>
      </c>
      <c r="H103" s="7" t="s">
        <v>97</v>
      </c>
      <c r="I103" s="7" t="s">
        <v>99</v>
      </c>
      <c r="J103" s="13">
        <f>IFERROR(INDEX(Rates!$D$6:$D$15,MATCH(H103&amp;"|"&amp;I103,Rates!$C$6:$C$15,0)),0)</f>
        <v>120</v>
      </c>
      <c r="K103" s="14">
        <v>6</v>
      </c>
      <c r="L103" s="13">
        <f t="shared" si="3"/>
        <v>720</v>
      </c>
      <c r="M103" s="7" t="s">
        <v>1044</v>
      </c>
    </row>
    <row r="104" spans="1:13">
      <c r="A104" s="15">
        <v>100</v>
      </c>
      <c r="B104" s="15"/>
      <c r="C104" s="15" t="s">
        <v>70</v>
      </c>
      <c r="D104" s="16" t="s">
        <v>1045</v>
      </c>
      <c r="E104" s="15">
        <v>13</v>
      </c>
      <c r="F104" s="15" t="str">
        <f>IFERROR(INDEX(Categories!$B$5:$B$27,MATCH(E104,Categories!$A$5:$A$27,0)),"")</f>
        <v>Environment Setup</v>
      </c>
      <c r="G104" s="15" t="s">
        <v>1046</v>
      </c>
      <c r="H104" s="15" t="s">
        <v>97</v>
      </c>
      <c r="I104" s="15" t="s">
        <v>98</v>
      </c>
      <c r="J104" s="17">
        <f>IFERROR(INDEX(Rates!$D$6:$D$15,MATCH(H104&amp;"|"&amp;I104,Rates!$C$6:$C$15,0)),0)</f>
        <v>100</v>
      </c>
      <c r="K104" s="18">
        <v>3</v>
      </c>
      <c r="L104" s="17">
        <f t="shared" si="3"/>
        <v>300</v>
      </c>
      <c r="M104" s="15" t="s">
        <v>1047</v>
      </c>
    </row>
    <row r="105" spans="1:13" ht="25.5">
      <c r="A105" s="7">
        <v>101</v>
      </c>
      <c r="B105" s="7"/>
      <c r="C105" s="7" t="s">
        <v>60</v>
      </c>
      <c r="D105" s="8" t="s">
        <v>56</v>
      </c>
      <c r="E105" s="7">
        <v>6</v>
      </c>
      <c r="F105" s="7" t="str">
        <f>IFERROR(INDEX(Categories!$B$5:$B$27,MATCH(E105,Categories!$A$5:$A$27,0)),"")</f>
        <v>Data Migration</v>
      </c>
      <c r="G105" s="7" t="s">
        <v>1048</v>
      </c>
      <c r="H105" s="7" t="s">
        <v>97</v>
      </c>
      <c r="I105" s="7" t="s">
        <v>99</v>
      </c>
      <c r="J105" s="13">
        <f>IFERROR(INDEX(Rates!$D$6:$D$15,MATCH(H105&amp;"|"&amp;I105,Rates!$C$6:$C$15,0)),0)</f>
        <v>120</v>
      </c>
      <c r="K105" s="14">
        <v>6</v>
      </c>
      <c r="L105" s="13">
        <f t="shared" si="3"/>
        <v>720</v>
      </c>
      <c r="M105" s="7" t="s">
        <v>1049</v>
      </c>
    </row>
    <row r="106" spans="1:13" ht="25.5">
      <c r="A106" s="15">
        <v>102</v>
      </c>
      <c r="B106" s="15"/>
      <c r="C106" s="15" t="s">
        <v>60</v>
      </c>
      <c r="D106" s="16" t="s">
        <v>1050</v>
      </c>
      <c r="E106" s="15">
        <v>13</v>
      </c>
      <c r="F106" s="15" t="str">
        <f>IFERROR(INDEX(Categories!$B$5:$B$27,MATCH(E106,Categories!$A$5:$A$27,0)),"")</f>
        <v>Environment Setup</v>
      </c>
      <c r="G106" s="15" t="s">
        <v>1051</v>
      </c>
      <c r="H106" s="15" t="s">
        <v>97</v>
      </c>
      <c r="I106" s="15" t="s">
        <v>99</v>
      </c>
      <c r="J106" s="17">
        <f>IFERROR(INDEX(Rates!$D$6:$D$15,MATCH(H106&amp;"|"&amp;I106,Rates!$C$6:$C$15,0)),0)</f>
        <v>120</v>
      </c>
      <c r="K106" s="18">
        <v>4</v>
      </c>
      <c r="L106" s="17">
        <f t="shared" si="3"/>
        <v>480</v>
      </c>
      <c r="M106" s="15" t="s">
        <v>1052</v>
      </c>
    </row>
    <row r="107" spans="1:13">
      <c r="A107" s="7">
        <v>103</v>
      </c>
      <c r="B107" s="7"/>
      <c r="C107" s="7" t="s">
        <v>60</v>
      </c>
      <c r="D107" s="8" t="s">
        <v>814</v>
      </c>
      <c r="E107" s="7">
        <v>13</v>
      </c>
      <c r="F107" s="7" t="str">
        <f>IFERROR(INDEX(Categories!$B$5:$B$27,MATCH(E107,Categories!$A$5:$A$27,0)),"")</f>
        <v>Environment Setup</v>
      </c>
      <c r="G107" s="7" t="s">
        <v>1053</v>
      </c>
      <c r="H107" s="7" t="s">
        <v>97</v>
      </c>
      <c r="I107" s="7" t="s">
        <v>98</v>
      </c>
      <c r="J107" s="13">
        <f>IFERROR(INDEX(Rates!$D$6:$D$15,MATCH(H107&amp;"|"&amp;I107,Rates!$C$6:$C$15,0)),0)</f>
        <v>100</v>
      </c>
      <c r="K107" s="14">
        <v>2</v>
      </c>
      <c r="L107" s="13">
        <f t="shared" si="3"/>
        <v>200</v>
      </c>
      <c r="M107" s="7" t="s">
        <v>695</v>
      </c>
    </row>
    <row r="108" spans="1:13">
      <c r="A108" s="15">
        <v>104</v>
      </c>
      <c r="B108" s="15"/>
      <c r="C108" s="15" t="s">
        <v>60</v>
      </c>
      <c r="D108" s="16" t="s">
        <v>504</v>
      </c>
      <c r="E108" s="15">
        <v>8</v>
      </c>
      <c r="F108" s="15" t="str">
        <f>IFERROR(INDEX(Categories!$B$5:$B$27,MATCH(E108,Categories!$A$5:$A$27,0)),"")</f>
        <v>Deployment</v>
      </c>
      <c r="G108" s="15" t="s">
        <v>1054</v>
      </c>
      <c r="H108" s="15" t="s">
        <v>97</v>
      </c>
      <c r="I108" s="15" t="s">
        <v>99</v>
      </c>
      <c r="J108" s="17">
        <f>IFERROR(INDEX(Rates!$D$6:$D$15,MATCH(H108&amp;"|"&amp;I108,Rates!$C$6:$C$15,0)),0)</f>
        <v>120</v>
      </c>
      <c r="K108" s="18">
        <v>5</v>
      </c>
      <c r="L108" s="17">
        <f t="shared" si="3"/>
        <v>600</v>
      </c>
      <c r="M108" s="15" t="s">
        <v>703</v>
      </c>
    </row>
    <row r="109" spans="1:13">
      <c r="A109" s="7">
        <v>105</v>
      </c>
      <c r="B109" s="7"/>
      <c r="C109" s="7" t="s">
        <v>60</v>
      </c>
      <c r="D109" s="8" t="s">
        <v>1055</v>
      </c>
      <c r="E109" s="7">
        <v>8</v>
      </c>
      <c r="F109" s="7" t="str">
        <f>IFERROR(INDEX(Categories!$B$5:$B$27,MATCH(E109,Categories!$A$5:$A$27,0)),"")</f>
        <v>Deployment</v>
      </c>
      <c r="G109" s="7" t="s">
        <v>1056</v>
      </c>
      <c r="H109" s="7" t="s">
        <v>97</v>
      </c>
      <c r="I109" s="7" t="s">
        <v>99</v>
      </c>
      <c r="J109" s="13">
        <f>IFERROR(INDEX(Rates!$D$6:$D$15,MATCH(H109&amp;"|"&amp;I109,Rates!$C$6:$C$15,0)),0)</f>
        <v>120</v>
      </c>
      <c r="K109" s="14">
        <v>2</v>
      </c>
      <c r="L109" s="13">
        <f t="shared" si="3"/>
        <v>240</v>
      </c>
      <c r="M109" s="7"/>
    </row>
    <row r="110" spans="1:13" ht="25.5">
      <c r="A110" s="15">
        <v>106</v>
      </c>
      <c r="B110" s="15"/>
      <c r="C110" s="15" t="s">
        <v>60</v>
      </c>
      <c r="D110" s="16" t="s">
        <v>1057</v>
      </c>
      <c r="E110" s="15">
        <v>18</v>
      </c>
      <c r="F110" s="15" t="str">
        <f>IFERROR(INDEX(Categories!$B$5:$B$27,MATCH(E110,Categories!$A$5:$A$27,0)),"")</f>
        <v>Performance &amp; Security</v>
      </c>
      <c r="G110" s="15" t="s">
        <v>1058</v>
      </c>
      <c r="H110" s="15" t="s">
        <v>97</v>
      </c>
      <c r="I110" s="15" t="s">
        <v>99</v>
      </c>
      <c r="J110" s="17">
        <f>IFERROR(INDEX(Rates!$D$6:$D$15,MATCH(H110&amp;"|"&amp;I110,Rates!$C$6:$C$15,0)),0)</f>
        <v>120</v>
      </c>
      <c r="K110" s="18">
        <v>4</v>
      </c>
      <c r="L110" s="17">
        <f t="shared" si="3"/>
        <v>480</v>
      </c>
      <c r="M110" s="15" t="s">
        <v>515</v>
      </c>
    </row>
    <row r="111" spans="1:13">
      <c r="A111" s="7">
        <v>107</v>
      </c>
      <c r="B111" s="7"/>
      <c r="C111" s="7" t="s">
        <v>60</v>
      </c>
      <c r="D111" s="8" t="s">
        <v>1059</v>
      </c>
      <c r="E111" s="7">
        <v>8</v>
      </c>
      <c r="F111" s="7" t="str">
        <f>IFERROR(INDEX(Categories!$B$5:$B$27,MATCH(E111,Categories!$A$5:$A$27,0)),"")</f>
        <v>Deployment</v>
      </c>
      <c r="G111" s="7" t="s">
        <v>1060</v>
      </c>
      <c r="H111" s="7" t="s">
        <v>97</v>
      </c>
      <c r="I111" s="7" t="s">
        <v>98</v>
      </c>
      <c r="J111" s="13">
        <f>IFERROR(INDEX(Rates!$D$6:$D$15,MATCH(H111&amp;"|"&amp;I111,Rates!$C$6:$C$15,0)),0)</f>
        <v>100</v>
      </c>
      <c r="K111" s="14">
        <v>2</v>
      </c>
      <c r="L111" s="13">
        <f t="shared" si="3"/>
        <v>200</v>
      </c>
      <c r="M111" s="7"/>
    </row>
    <row r="112" spans="1:13">
      <c r="A112" s="15">
        <v>108</v>
      </c>
      <c r="B112" s="15"/>
      <c r="C112" s="15" t="s">
        <v>496</v>
      </c>
      <c r="D112" s="16" t="s">
        <v>1061</v>
      </c>
      <c r="E112" s="15">
        <v>25</v>
      </c>
      <c r="F112" s="15" t="str">
        <f>IFERROR(INDEX(Categories!$B$5:$B$27,MATCH(E112,Categories!$A$5:$A$27,0)),"")</f>
        <v>QA &amp; Testing</v>
      </c>
      <c r="G112" s="15" t="s">
        <v>1062</v>
      </c>
      <c r="H112" s="15" t="s">
        <v>102</v>
      </c>
      <c r="I112" s="15" t="s">
        <v>98</v>
      </c>
      <c r="J112" s="17">
        <f>IFERROR(INDEX(Rates!$D$6:$D$15,MATCH(H112&amp;"|"&amp;I112,Rates!$C$6:$C$15,0)),0)</f>
        <v>80</v>
      </c>
      <c r="K112" s="18">
        <v>5</v>
      </c>
      <c r="L112" s="17">
        <f t="shared" si="3"/>
        <v>400</v>
      </c>
      <c r="M112" s="15" t="s">
        <v>700</v>
      </c>
    </row>
    <row r="113" spans="1:13">
      <c r="A113" s="7">
        <v>109</v>
      </c>
      <c r="B113" s="7"/>
      <c r="C113" s="7" t="s">
        <v>823</v>
      </c>
      <c r="D113" s="8" t="s">
        <v>824</v>
      </c>
      <c r="E113" s="7">
        <v>25</v>
      </c>
      <c r="F113" s="7" t="str">
        <f>IFERROR(INDEX(Categories!$B$5:$B$27,MATCH(E113,Categories!$A$5:$A$27,0)),"")</f>
        <v>QA &amp; Testing</v>
      </c>
      <c r="G113" s="7" t="s">
        <v>825</v>
      </c>
      <c r="H113" s="7" t="s">
        <v>102</v>
      </c>
      <c r="I113" s="7" t="s">
        <v>98</v>
      </c>
      <c r="J113" s="13">
        <f>IFERROR(INDEX(Rates!$D$6:$D$15,MATCH(H113&amp;"|"&amp;I113,Rates!$C$6:$C$15,0)),0)</f>
        <v>80</v>
      </c>
      <c r="K113" s="14">
        <v>6</v>
      </c>
      <c r="L113" s="13">
        <f t="shared" si="3"/>
        <v>480</v>
      </c>
      <c r="M113" s="7" t="s">
        <v>705</v>
      </c>
    </row>
    <row r="114" spans="1:13" ht="25.5">
      <c r="A114" s="15">
        <v>110</v>
      </c>
      <c r="B114" s="15"/>
      <c r="C114" s="15" t="s">
        <v>823</v>
      </c>
      <c r="D114" s="16" t="s">
        <v>545</v>
      </c>
      <c r="E114" s="15">
        <v>18</v>
      </c>
      <c r="F114" s="15" t="str">
        <f>IFERROR(INDEX(Categories!$B$5:$B$27,MATCH(E114,Categories!$A$5:$A$27,0)),"")</f>
        <v>Performance &amp; Security</v>
      </c>
      <c r="G114" s="15" t="s">
        <v>1063</v>
      </c>
      <c r="H114" s="15" t="s">
        <v>102</v>
      </c>
      <c r="I114" s="15" t="s">
        <v>98</v>
      </c>
      <c r="J114" s="17">
        <f>IFERROR(INDEX(Rates!$D$6:$D$15,MATCH(H114&amp;"|"&amp;I114,Rates!$C$6:$C$15,0)),0)</f>
        <v>80</v>
      </c>
      <c r="K114" s="18">
        <v>3</v>
      </c>
      <c r="L114" s="17">
        <f t="shared" si="3"/>
        <v>240</v>
      </c>
      <c r="M114" s="15" t="s">
        <v>1064</v>
      </c>
    </row>
    <row r="115" spans="1:13">
      <c r="A115" s="7">
        <v>111</v>
      </c>
      <c r="B115" s="7"/>
      <c r="C115" s="7" t="s">
        <v>823</v>
      </c>
      <c r="D115" s="8" t="s">
        <v>549</v>
      </c>
      <c r="E115" s="7">
        <v>4</v>
      </c>
      <c r="F115" s="7" t="str">
        <f>IFERROR(INDEX(Categories!$B$5:$B$27,MATCH(E115,Categories!$A$5:$A$27,0)),"")</f>
        <v>Conversion Tracking</v>
      </c>
      <c r="G115" s="7" t="s">
        <v>826</v>
      </c>
      <c r="H115" s="7" t="s">
        <v>102</v>
      </c>
      <c r="I115" s="7" t="s">
        <v>98</v>
      </c>
      <c r="J115" s="13">
        <f>IFERROR(INDEX(Rates!$D$6:$D$15,MATCH(H115&amp;"|"&amp;I115,Rates!$C$6:$C$15,0)),0)</f>
        <v>80</v>
      </c>
      <c r="K115" s="14">
        <v>2</v>
      </c>
      <c r="L115" s="13">
        <f t="shared" si="3"/>
        <v>160</v>
      </c>
      <c r="M115" s="7"/>
    </row>
    <row r="116" spans="1:13">
      <c r="A116" s="15">
        <v>112</v>
      </c>
      <c r="B116" s="15"/>
      <c r="C116" s="15" t="s">
        <v>48</v>
      </c>
      <c r="D116" s="16" t="s">
        <v>1065</v>
      </c>
      <c r="E116" s="15">
        <v>7</v>
      </c>
      <c r="F116" s="15" t="str">
        <f>IFERROR(INDEX(Categories!$B$5:$B$27,MATCH(E116,Categories!$A$5:$A$27,0)),"")</f>
        <v>Database</v>
      </c>
      <c r="G116" s="15" t="s">
        <v>1066</v>
      </c>
      <c r="H116" s="15" t="s">
        <v>97</v>
      </c>
      <c r="I116" s="15" t="s">
        <v>99</v>
      </c>
      <c r="J116" s="17">
        <f>IFERROR(INDEX(Rates!$D$6:$D$15,MATCH(H116&amp;"|"&amp;I116,Rates!$C$6:$C$15,0)),0)</f>
        <v>120</v>
      </c>
      <c r="K116" s="18">
        <v>6</v>
      </c>
      <c r="L116" s="17">
        <f t="shared" si="3"/>
        <v>720</v>
      </c>
      <c r="M116" s="15" t="s">
        <v>1041</v>
      </c>
    </row>
    <row r="117" spans="1:13" ht="25.5">
      <c r="A117" s="7">
        <v>113</v>
      </c>
      <c r="B117" s="7"/>
      <c r="C117" s="7" t="s">
        <v>48</v>
      </c>
      <c r="D117" s="8" t="s">
        <v>1067</v>
      </c>
      <c r="E117" s="7">
        <v>7</v>
      </c>
      <c r="F117" s="7" t="str">
        <f>IFERROR(INDEX(Categories!$B$5:$B$27,MATCH(E117,Categories!$A$5:$A$27,0)),"")</f>
        <v>Database</v>
      </c>
      <c r="G117" s="7" t="s">
        <v>1068</v>
      </c>
      <c r="H117" s="7" t="s">
        <v>97</v>
      </c>
      <c r="I117" s="7" t="s">
        <v>99</v>
      </c>
      <c r="J117" s="13">
        <f>IFERROR(INDEX(Rates!$D$6:$D$15,MATCH(H117&amp;"|"&amp;I117,Rates!$C$6:$C$15,0)),0)</f>
        <v>120</v>
      </c>
      <c r="K117" s="14">
        <v>10</v>
      </c>
      <c r="L117" s="13">
        <f t="shared" si="3"/>
        <v>1200</v>
      </c>
      <c r="M117" s="7" t="s">
        <v>1069</v>
      </c>
    </row>
    <row r="118" spans="1:13" ht="25.5">
      <c r="A118" s="15">
        <v>114</v>
      </c>
      <c r="B118" s="15"/>
      <c r="C118" s="15" t="s">
        <v>48</v>
      </c>
      <c r="D118" s="16" t="s">
        <v>1070</v>
      </c>
      <c r="E118" s="15">
        <v>7</v>
      </c>
      <c r="F118" s="15" t="str">
        <f>IFERROR(INDEX(Categories!$B$5:$B$27,MATCH(E118,Categories!$A$5:$A$27,0)),"")</f>
        <v>Database</v>
      </c>
      <c r="G118" s="15" t="s">
        <v>1071</v>
      </c>
      <c r="H118" s="15" t="s">
        <v>97</v>
      </c>
      <c r="I118" s="15" t="s">
        <v>99</v>
      </c>
      <c r="J118" s="17">
        <f>IFERROR(INDEX(Rates!$D$6:$D$15,MATCH(H118&amp;"|"&amp;I118,Rates!$C$6:$C$15,0)),0)</f>
        <v>120</v>
      </c>
      <c r="K118" s="18">
        <v>12</v>
      </c>
      <c r="L118" s="17">
        <f t="shared" si="3"/>
        <v>1440</v>
      </c>
      <c r="M118" s="15" t="s">
        <v>1072</v>
      </c>
    </row>
    <row r="119" spans="1:13">
      <c r="A119" s="7">
        <v>115</v>
      </c>
      <c r="B119" s="7"/>
      <c r="C119" s="7" t="s">
        <v>48</v>
      </c>
      <c r="D119" s="8" t="s">
        <v>1073</v>
      </c>
      <c r="E119" s="7">
        <v>7</v>
      </c>
      <c r="F119" s="7" t="str">
        <f>IFERROR(INDEX(Categories!$B$5:$B$27,MATCH(E119,Categories!$A$5:$A$27,0)),"")</f>
        <v>Database</v>
      </c>
      <c r="G119" s="7" t="s">
        <v>1074</v>
      </c>
      <c r="H119" s="7" t="s">
        <v>97</v>
      </c>
      <c r="I119" s="7" t="s">
        <v>99</v>
      </c>
      <c r="J119" s="13">
        <f>IFERROR(INDEX(Rates!$D$6:$D$15,MATCH(H119&amp;"|"&amp;I119,Rates!$C$6:$C$15,0)),0)</f>
        <v>120</v>
      </c>
      <c r="K119" s="14">
        <v>6</v>
      </c>
      <c r="L119" s="13">
        <f t="shared" si="3"/>
        <v>720</v>
      </c>
      <c r="M119" s="7" t="s">
        <v>1075</v>
      </c>
    </row>
    <row r="120" spans="1:13">
      <c r="A120" s="15">
        <v>116</v>
      </c>
      <c r="B120" s="15"/>
      <c r="C120" s="15" t="s">
        <v>48</v>
      </c>
      <c r="D120" s="16" t="s">
        <v>1076</v>
      </c>
      <c r="E120" s="15">
        <v>7</v>
      </c>
      <c r="F120" s="15" t="str">
        <f>IFERROR(INDEX(Categories!$B$5:$B$27,MATCH(E120,Categories!$A$5:$A$27,0)),"")</f>
        <v>Database</v>
      </c>
      <c r="G120" s="15" t="s">
        <v>1077</v>
      </c>
      <c r="H120" s="15" t="s">
        <v>97</v>
      </c>
      <c r="I120" s="15" t="s">
        <v>99</v>
      </c>
      <c r="J120" s="17">
        <f>IFERROR(INDEX(Rates!$D$6:$D$15,MATCH(H120&amp;"|"&amp;I120,Rates!$C$6:$C$15,0)),0)</f>
        <v>120</v>
      </c>
      <c r="K120" s="18">
        <v>8</v>
      </c>
      <c r="L120" s="17">
        <f t="shared" si="3"/>
        <v>960</v>
      </c>
      <c r="M120" s="15" t="s">
        <v>1078</v>
      </c>
    </row>
    <row r="121" spans="1:13">
      <c r="A121" s="7">
        <v>117</v>
      </c>
      <c r="B121" s="7"/>
      <c r="C121" s="7" t="s">
        <v>48</v>
      </c>
      <c r="D121" s="8" t="s">
        <v>1079</v>
      </c>
      <c r="E121" s="7">
        <v>7</v>
      </c>
      <c r="F121" s="7" t="str">
        <f>IFERROR(INDEX(Categories!$B$5:$B$27,MATCH(E121,Categories!$A$5:$A$27,0)),"")</f>
        <v>Database</v>
      </c>
      <c r="G121" s="7" t="s">
        <v>1080</v>
      </c>
      <c r="H121" s="7" t="s">
        <v>97</v>
      </c>
      <c r="I121" s="7" t="s">
        <v>99</v>
      </c>
      <c r="J121" s="13">
        <f>IFERROR(INDEX(Rates!$D$6:$D$15,MATCH(H121&amp;"|"&amp;I121,Rates!$C$6:$C$15,0)),0)</f>
        <v>120</v>
      </c>
      <c r="K121" s="14">
        <v>4</v>
      </c>
      <c r="L121" s="13">
        <f t="shared" si="3"/>
        <v>480</v>
      </c>
      <c r="M121" s="7" t="s">
        <v>1081</v>
      </c>
    </row>
    <row r="122" spans="1:13" ht="25.5">
      <c r="A122" s="15">
        <v>118</v>
      </c>
      <c r="B122" s="15"/>
      <c r="C122" s="15" t="s">
        <v>48</v>
      </c>
      <c r="D122" s="16" t="s">
        <v>1082</v>
      </c>
      <c r="E122" s="15">
        <v>7</v>
      </c>
      <c r="F122" s="15" t="str">
        <f>IFERROR(INDEX(Categories!$B$5:$B$27,MATCH(E122,Categories!$A$5:$A$27,0)),"")</f>
        <v>Database</v>
      </c>
      <c r="G122" s="15" t="s">
        <v>1083</v>
      </c>
      <c r="H122" s="15" t="s">
        <v>97</v>
      </c>
      <c r="I122" s="15" t="s">
        <v>99</v>
      </c>
      <c r="J122" s="17">
        <f>IFERROR(INDEX(Rates!$D$6:$D$15,MATCH(H122&amp;"|"&amp;I122,Rates!$C$6:$C$15,0)),0)</f>
        <v>120</v>
      </c>
      <c r="K122" s="18">
        <v>8</v>
      </c>
      <c r="L122" s="17">
        <f t="shared" si="3"/>
        <v>960</v>
      </c>
      <c r="M122" s="15" t="s">
        <v>1084</v>
      </c>
    </row>
    <row r="124" spans="1:13">
      <c r="D124" s="19" t="s">
        <v>552</v>
      </c>
      <c r="K124" s="20">
        <f>SUM(K5:K122)</f>
        <v>1003</v>
      </c>
      <c r="L124" s="21">
        <f>SUM(L5:L122)</f>
        <v>116840</v>
      </c>
      <c r="M124" s="12" t="s">
        <v>553</v>
      </c>
    </row>
  </sheetData>
  <autoFilter ref="A4:M122"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43"/>
  <sheetViews>
    <sheetView zoomScaleNormal="100" workbookViewId="0">
      <pane xSplit="4" ySplit="4" topLeftCell="E5" activePane="bottomRight" state="frozen"/>
      <selection pane="bottomRight"/>
      <selection pane="bottomLeft" activeCell="A5" sqref="A5"/>
      <selection pane="topRight" activeCell="E1" sqref="E1"/>
    </sheetView>
  </sheetViews>
  <sheetFormatPr defaultColWidth="8.7109375" defaultRowHeight="15"/>
  <cols>
    <col min="1" max="1" width="6" customWidth="1"/>
    <col min="2" max="2" width="20" customWidth="1"/>
    <col min="3" max="3" width="26" customWidth="1"/>
    <col min="4" max="4" width="34" customWidth="1"/>
    <col min="5" max="5" width="10" customWidth="1"/>
    <col min="6" max="6" width="20" customWidth="1"/>
    <col min="7" max="7" width="50" customWidth="1"/>
    <col min="8" max="8" width="18" customWidth="1"/>
    <col min="9" max="9" width="10" customWidth="1"/>
    <col min="10" max="10" width="11" customWidth="1"/>
    <col min="11" max="11" width="10" customWidth="1"/>
    <col min="12" max="12" width="14" customWidth="1"/>
    <col min="13" max="13" width="58" customWidth="1"/>
  </cols>
  <sheetData>
    <row r="1" spans="1:13" ht="16.5">
      <c r="A1" s="1" t="s">
        <v>1085</v>
      </c>
    </row>
    <row r="2" spans="1:13">
      <c r="A2" s="2" t="s">
        <v>1086</v>
      </c>
    </row>
    <row r="4" spans="1:13" ht="25.5">
      <c r="A4" s="6" t="s">
        <v>107</v>
      </c>
      <c r="B4" s="6" t="s">
        <v>108</v>
      </c>
      <c r="C4" s="6" t="s">
        <v>109</v>
      </c>
      <c r="D4" s="6" t="s">
        <v>110</v>
      </c>
      <c r="E4" s="6" t="s">
        <v>43</v>
      </c>
      <c r="F4" s="6" t="s">
        <v>44</v>
      </c>
      <c r="G4" s="6" t="s">
        <v>45</v>
      </c>
      <c r="H4" s="6" t="s">
        <v>16</v>
      </c>
      <c r="I4" s="6" t="s">
        <v>18</v>
      </c>
      <c r="J4" s="6" t="s">
        <v>20</v>
      </c>
      <c r="K4" s="6" t="s">
        <v>14</v>
      </c>
      <c r="L4" s="6" t="s">
        <v>22</v>
      </c>
      <c r="M4" s="6" t="s">
        <v>24</v>
      </c>
    </row>
    <row r="5" spans="1:13">
      <c r="A5" s="7">
        <v>1</v>
      </c>
      <c r="B5" s="7"/>
      <c r="C5" s="7" t="s">
        <v>111</v>
      </c>
      <c r="D5" s="8" t="s">
        <v>112</v>
      </c>
      <c r="E5" s="7">
        <v>14</v>
      </c>
      <c r="F5" s="7" t="str">
        <f>IFERROR(INDEX(Categories!$B$5:$B$27,MATCH(E5,Categories!$A$5:$A$27,0)),"")</f>
        <v>Frontend</v>
      </c>
      <c r="G5" s="7" t="s">
        <v>113</v>
      </c>
      <c r="H5" s="7" t="s">
        <v>97</v>
      </c>
      <c r="I5" s="7" t="s">
        <v>98</v>
      </c>
      <c r="J5" s="13">
        <f>IFERROR(INDEX(Rates!$D$6:$D$15,MATCH(H5&amp;"|"&amp;I5,Rates!$C$6:$C$15,0)),0)</f>
        <v>100</v>
      </c>
      <c r="K5" s="14">
        <v>2</v>
      </c>
      <c r="L5" s="13">
        <f t="shared" ref="L5:L36" si="0">K5*J5</f>
        <v>200</v>
      </c>
      <c r="M5" s="7"/>
    </row>
    <row r="6" spans="1:13" ht="25.5">
      <c r="A6" s="15">
        <v>2</v>
      </c>
      <c r="B6" s="15"/>
      <c r="C6" s="15" t="s">
        <v>111</v>
      </c>
      <c r="D6" s="16" t="s">
        <v>1087</v>
      </c>
      <c r="E6" s="15">
        <v>14</v>
      </c>
      <c r="F6" s="15" t="str">
        <f>IFERROR(INDEX(Categories!$B$5:$B$27,MATCH(E6,Categories!$A$5:$A$27,0)),"")</f>
        <v>Frontend</v>
      </c>
      <c r="G6" s="15" t="s">
        <v>1088</v>
      </c>
      <c r="H6" s="15" t="s">
        <v>97</v>
      </c>
      <c r="I6" s="15" t="s">
        <v>98</v>
      </c>
      <c r="J6" s="17">
        <f>IFERROR(INDEX(Rates!$D$6:$D$15,MATCH(H6&amp;"|"&amp;I6,Rates!$C$6:$C$15,0)),0)</f>
        <v>100</v>
      </c>
      <c r="K6" s="18">
        <v>3</v>
      </c>
      <c r="L6" s="17">
        <f t="shared" si="0"/>
        <v>300</v>
      </c>
      <c r="M6" s="15" t="s">
        <v>557</v>
      </c>
    </row>
    <row r="7" spans="1:13" ht="25.5">
      <c r="A7" s="7">
        <v>3</v>
      </c>
      <c r="B7" s="7"/>
      <c r="C7" s="7" t="s">
        <v>111</v>
      </c>
      <c r="D7" s="8" t="s">
        <v>905</v>
      </c>
      <c r="E7" s="7">
        <v>15</v>
      </c>
      <c r="F7" s="7" t="str">
        <f>IFERROR(INDEX(Categories!$B$5:$B$27,MATCH(E7,Categories!$A$5:$A$27,0)),"")</f>
        <v>Integration</v>
      </c>
      <c r="G7" s="7" t="s">
        <v>1089</v>
      </c>
      <c r="H7" s="7" t="s">
        <v>97</v>
      </c>
      <c r="I7" s="7" t="s">
        <v>99</v>
      </c>
      <c r="J7" s="13">
        <f>IFERROR(INDEX(Rates!$D$6:$D$15,MATCH(H7&amp;"|"&amp;I7,Rates!$C$6:$C$15,0)),0)</f>
        <v>120</v>
      </c>
      <c r="K7" s="14">
        <v>8</v>
      </c>
      <c r="L7" s="13">
        <f t="shared" si="0"/>
        <v>960</v>
      </c>
      <c r="M7" s="7" t="s">
        <v>907</v>
      </c>
    </row>
    <row r="8" spans="1:13" ht="25.5">
      <c r="A8" s="15">
        <v>4</v>
      </c>
      <c r="B8" s="15"/>
      <c r="C8" s="15" t="s">
        <v>111</v>
      </c>
      <c r="D8" s="16" t="s">
        <v>558</v>
      </c>
      <c r="E8" s="15">
        <v>15</v>
      </c>
      <c r="F8" s="15" t="str">
        <f>IFERROR(INDEX(Categories!$B$5:$B$27,MATCH(E8,Categories!$A$5:$A$27,0)),"")</f>
        <v>Integration</v>
      </c>
      <c r="G8" s="15" t="s">
        <v>908</v>
      </c>
      <c r="H8" s="15" t="s">
        <v>97</v>
      </c>
      <c r="I8" s="15" t="s">
        <v>98</v>
      </c>
      <c r="J8" s="17">
        <f>IFERROR(INDEX(Rates!$D$6:$D$15,MATCH(H8&amp;"|"&amp;I8,Rates!$C$6:$C$15,0)),0)</f>
        <v>100</v>
      </c>
      <c r="K8" s="18">
        <v>3</v>
      </c>
      <c r="L8" s="17">
        <f t="shared" si="0"/>
        <v>300</v>
      </c>
      <c r="M8" s="15" t="s">
        <v>123</v>
      </c>
    </row>
    <row r="9" spans="1:13">
      <c r="A9" s="7">
        <v>5</v>
      </c>
      <c r="B9" s="7"/>
      <c r="C9" s="7" t="s">
        <v>111</v>
      </c>
      <c r="D9" s="8" t="s">
        <v>124</v>
      </c>
      <c r="E9" s="7">
        <v>14</v>
      </c>
      <c r="F9" s="7" t="str">
        <f>IFERROR(INDEX(Categories!$B$5:$B$27,MATCH(E9,Categories!$A$5:$A$27,0)),"")</f>
        <v>Frontend</v>
      </c>
      <c r="G9" s="7" t="s">
        <v>1090</v>
      </c>
      <c r="H9" s="7" t="s">
        <v>97</v>
      </c>
      <c r="I9" s="7" t="s">
        <v>98</v>
      </c>
      <c r="J9" s="13">
        <f>IFERROR(INDEX(Rates!$D$6:$D$15,MATCH(H9&amp;"|"&amp;I9,Rates!$C$6:$C$15,0)),0)</f>
        <v>100</v>
      </c>
      <c r="K9" s="14">
        <v>1.5</v>
      </c>
      <c r="L9" s="13">
        <f t="shared" si="0"/>
        <v>150</v>
      </c>
      <c r="M9" s="7" t="s">
        <v>561</v>
      </c>
    </row>
    <row r="10" spans="1:13">
      <c r="A10" s="15">
        <v>6</v>
      </c>
      <c r="B10" s="15"/>
      <c r="C10" s="15" t="s">
        <v>111</v>
      </c>
      <c r="D10" s="16" t="s">
        <v>127</v>
      </c>
      <c r="E10" s="15">
        <v>14</v>
      </c>
      <c r="F10" s="15" t="str">
        <f>IFERROR(INDEX(Categories!$B$5:$B$27,MATCH(E10,Categories!$A$5:$A$27,0)),"")</f>
        <v>Frontend</v>
      </c>
      <c r="G10" s="15" t="s">
        <v>1091</v>
      </c>
      <c r="H10" s="15" t="s">
        <v>97</v>
      </c>
      <c r="I10" s="15" t="s">
        <v>98</v>
      </c>
      <c r="J10" s="17">
        <f>IFERROR(INDEX(Rates!$D$6:$D$15,MATCH(H10&amp;"|"&amp;I10,Rates!$C$6:$C$15,0)),0)</f>
        <v>100</v>
      </c>
      <c r="K10" s="18">
        <v>1.5</v>
      </c>
      <c r="L10" s="17">
        <f t="shared" si="0"/>
        <v>150</v>
      </c>
      <c r="M10" s="15" t="s">
        <v>129</v>
      </c>
    </row>
    <row r="11" spans="1:13">
      <c r="A11" s="7">
        <v>7</v>
      </c>
      <c r="B11" s="7"/>
      <c r="C11" s="7" t="s">
        <v>130</v>
      </c>
      <c r="D11" s="8" t="s">
        <v>131</v>
      </c>
      <c r="E11" s="7">
        <v>14</v>
      </c>
      <c r="F11" s="7" t="str">
        <f>IFERROR(INDEX(Categories!$B$5:$B$27,MATCH(E11,Categories!$A$5:$A$27,0)),"")</f>
        <v>Frontend</v>
      </c>
      <c r="G11" s="7" t="s">
        <v>714</v>
      </c>
      <c r="H11" s="7" t="s">
        <v>97</v>
      </c>
      <c r="I11" s="7" t="s">
        <v>98</v>
      </c>
      <c r="J11" s="13">
        <f>IFERROR(INDEX(Rates!$D$6:$D$15,MATCH(H11&amp;"|"&amp;I11,Rates!$C$6:$C$15,0)),0)</f>
        <v>100</v>
      </c>
      <c r="K11" s="14">
        <v>4</v>
      </c>
      <c r="L11" s="13">
        <f t="shared" si="0"/>
        <v>400</v>
      </c>
      <c r="M11" s="7"/>
    </row>
    <row r="12" spans="1:13">
      <c r="A12" s="15">
        <v>8</v>
      </c>
      <c r="B12" s="15"/>
      <c r="C12" s="15" t="s">
        <v>130</v>
      </c>
      <c r="D12" s="16" t="s">
        <v>1092</v>
      </c>
      <c r="E12" s="15">
        <v>14</v>
      </c>
      <c r="F12" s="15" t="str">
        <f>IFERROR(INDEX(Categories!$B$5:$B$27,MATCH(E12,Categories!$A$5:$A$27,0)),"")</f>
        <v>Frontend</v>
      </c>
      <c r="G12" s="15" t="s">
        <v>911</v>
      </c>
      <c r="H12" s="15" t="s">
        <v>97</v>
      </c>
      <c r="I12" s="15" t="s">
        <v>98</v>
      </c>
      <c r="J12" s="17">
        <f>IFERROR(INDEX(Rates!$D$6:$D$15,MATCH(H12&amp;"|"&amp;I12,Rates!$C$6:$C$15,0)),0)</f>
        <v>100</v>
      </c>
      <c r="K12" s="18">
        <v>3</v>
      </c>
      <c r="L12" s="17">
        <f t="shared" si="0"/>
        <v>300</v>
      </c>
      <c r="M12" s="15" t="s">
        <v>136</v>
      </c>
    </row>
    <row r="13" spans="1:13" ht="25.5">
      <c r="A13" s="7">
        <v>9</v>
      </c>
      <c r="B13" s="7"/>
      <c r="C13" s="7" t="s">
        <v>130</v>
      </c>
      <c r="D13" s="8" t="s">
        <v>137</v>
      </c>
      <c r="E13" s="7">
        <v>14</v>
      </c>
      <c r="F13" s="7" t="str">
        <f>IFERROR(INDEX(Categories!$B$5:$B$27,MATCH(E13,Categories!$A$5:$A$27,0)),"")</f>
        <v>Frontend</v>
      </c>
      <c r="G13" s="7" t="s">
        <v>1093</v>
      </c>
      <c r="H13" s="7" t="s">
        <v>97</v>
      </c>
      <c r="I13" s="7" t="s">
        <v>98</v>
      </c>
      <c r="J13" s="13">
        <f>IFERROR(INDEX(Rates!$D$6:$D$15,MATCH(H13&amp;"|"&amp;I13,Rates!$C$6:$C$15,0)),0)</f>
        <v>100</v>
      </c>
      <c r="K13" s="14">
        <v>2</v>
      </c>
      <c r="L13" s="13">
        <f t="shared" si="0"/>
        <v>200</v>
      </c>
      <c r="M13" s="7" t="s">
        <v>139</v>
      </c>
    </row>
    <row r="14" spans="1:13">
      <c r="A14" s="15">
        <v>10</v>
      </c>
      <c r="B14" s="15"/>
      <c r="C14" s="15" t="s">
        <v>130</v>
      </c>
      <c r="D14" s="16" t="s">
        <v>140</v>
      </c>
      <c r="E14" s="15">
        <v>14</v>
      </c>
      <c r="F14" s="15" t="str">
        <f>IFERROR(INDEX(Categories!$B$5:$B$27,MATCH(E14,Categories!$A$5:$A$27,0)),"")</f>
        <v>Frontend</v>
      </c>
      <c r="G14" s="15" t="s">
        <v>913</v>
      </c>
      <c r="H14" s="15" t="s">
        <v>97</v>
      </c>
      <c r="I14" s="15" t="s">
        <v>98</v>
      </c>
      <c r="J14" s="17">
        <f>IFERROR(INDEX(Rates!$D$6:$D$15,MATCH(H14&amp;"|"&amp;I14,Rates!$C$6:$C$15,0)),0)</f>
        <v>100</v>
      </c>
      <c r="K14" s="18">
        <v>2</v>
      </c>
      <c r="L14" s="17">
        <f t="shared" si="0"/>
        <v>200</v>
      </c>
      <c r="M14" s="15" t="s">
        <v>567</v>
      </c>
    </row>
    <row r="15" spans="1:13">
      <c r="A15" s="7">
        <v>11</v>
      </c>
      <c r="B15" s="7"/>
      <c r="C15" s="7" t="s">
        <v>111</v>
      </c>
      <c r="D15" s="8" t="s">
        <v>143</v>
      </c>
      <c r="E15" s="7">
        <v>14</v>
      </c>
      <c r="F15" s="7" t="str">
        <f>IFERROR(INDEX(Categories!$B$5:$B$27,MATCH(E15,Categories!$A$5:$A$27,0)),"")</f>
        <v>Frontend</v>
      </c>
      <c r="G15" s="7" t="s">
        <v>914</v>
      </c>
      <c r="H15" s="7" t="s">
        <v>97</v>
      </c>
      <c r="I15" s="7" t="s">
        <v>98</v>
      </c>
      <c r="J15" s="13">
        <f>IFERROR(INDEX(Rates!$D$6:$D$15,MATCH(H15&amp;"|"&amp;I15,Rates!$C$6:$C$15,0)),0)</f>
        <v>100</v>
      </c>
      <c r="K15" s="14">
        <v>4</v>
      </c>
      <c r="L15" s="13">
        <f t="shared" si="0"/>
        <v>400</v>
      </c>
      <c r="M15" s="7" t="s">
        <v>145</v>
      </c>
    </row>
    <row r="16" spans="1:13">
      <c r="A16" s="15">
        <v>12</v>
      </c>
      <c r="B16" s="15"/>
      <c r="C16" s="15" t="s">
        <v>111</v>
      </c>
      <c r="D16" s="16" t="s">
        <v>146</v>
      </c>
      <c r="E16" s="15">
        <v>14</v>
      </c>
      <c r="F16" s="15" t="str">
        <f>IFERROR(INDEX(Categories!$B$5:$B$27,MATCH(E16,Categories!$A$5:$A$27,0)),"")</f>
        <v>Frontend</v>
      </c>
      <c r="G16" s="15" t="s">
        <v>1094</v>
      </c>
      <c r="H16" s="15" t="s">
        <v>97</v>
      </c>
      <c r="I16" s="15" t="s">
        <v>98</v>
      </c>
      <c r="J16" s="17">
        <f>IFERROR(INDEX(Rates!$D$6:$D$15,MATCH(H16&amp;"|"&amp;I16,Rates!$C$6:$C$15,0)),0)</f>
        <v>100</v>
      </c>
      <c r="K16" s="18">
        <v>2</v>
      </c>
      <c r="L16" s="17">
        <f t="shared" si="0"/>
        <v>200</v>
      </c>
      <c r="M16" s="15" t="s">
        <v>571</v>
      </c>
    </row>
    <row r="17" spans="1:13">
      <c r="A17" s="7">
        <v>13</v>
      </c>
      <c r="B17" s="7"/>
      <c r="C17" s="7" t="s">
        <v>111</v>
      </c>
      <c r="D17" s="8" t="s">
        <v>572</v>
      </c>
      <c r="E17" s="7">
        <v>14</v>
      </c>
      <c r="F17" s="7" t="str">
        <f>IFERROR(INDEX(Categories!$B$5:$B$27,MATCH(E17,Categories!$A$5:$A$27,0)),"")</f>
        <v>Frontend</v>
      </c>
      <c r="G17" s="7" t="s">
        <v>149</v>
      </c>
      <c r="H17" s="7" t="s">
        <v>97</v>
      </c>
      <c r="I17" s="7" t="s">
        <v>98</v>
      </c>
      <c r="J17" s="13">
        <f>IFERROR(INDEX(Rates!$D$6:$D$15,MATCH(H17&amp;"|"&amp;I17,Rates!$C$6:$C$15,0)),0)</f>
        <v>100</v>
      </c>
      <c r="K17" s="14">
        <v>1</v>
      </c>
      <c r="L17" s="13">
        <f t="shared" si="0"/>
        <v>100</v>
      </c>
      <c r="M17" s="7" t="s">
        <v>151</v>
      </c>
    </row>
    <row r="18" spans="1:13" ht="25.5">
      <c r="A18" s="15">
        <v>14</v>
      </c>
      <c r="B18" s="15"/>
      <c r="C18" s="15" t="s">
        <v>111</v>
      </c>
      <c r="D18" s="16" t="s">
        <v>153</v>
      </c>
      <c r="E18" s="15">
        <v>15</v>
      </c>
      <c r="F18" s="15" t="str">
        <f>IFERROR(INDEX(Categories!$B$5:$B$27,MATCH(E18,Categories!$A$5:$A$27,0)),"")</f>
        <v>Integration</v>
      </c>
      <c r="G18" s="15" t="s">
        <v>1095</v>
      </c>
      <c r="H18" s="15" t="s">
        <v>97</v>
      </c>
      <c r="I18" s="15" t="s">
        <v>99</v>
      </c>
      <c r="J18" s="17">
        <f>IFERROR(INDEX(Rates!$D$6:$D$15,MATCH(H18&amp;"|"&amp;I18,Rates!$C$6:$C$15,0)),0)</f>
        <v>120</v>
      </c>
      <c r="K18" s="18">
        <v>5</v>
      </c>
      <c r="L18" s="17">
        <f t="shared" si="0"/>
        <v>600</v>
      </c>
      <c r="M18" s="15" t="s">
        <v>917</v>
      </c>
    </row>
    <row r="19" spans="1:13">
      <c r="A19" s="7">
        <v>15</v>
      </c>
      <c r="B19" s="7"/>
      <c r="C19" s="7" t="s">
        <v>111</v>
      </c>
      <c r="D19" s="8" t="s">
        <v>156</v>
      </c>
      <c r="E19" s="7">
        <v>14</v>
      </c>
      <c r="F19" s="7" t="str">
        <f>IFERROR(INDEX(Categories!$B$5:$B$27,MATCH(E19,Categories!$A$5:$A$27,0)),"")</f>
        <v>Frontend</v>
      </c>
      <c r="G19" s="7" t="s">
        <v>918</v>
      </c>
      <c r="H19" s="7" t="s">
        <v>97</v>
      </c>
      <c r="I19" s="7" t="s">
        <v>98</v>
      </c>
      <c r="J19" s="13">
        <f>IFERROR(INDEX(Rates!$D$6:$D$15,MATCH(H19&amp;"|"&amp;I19,Rates!$C$6:$C$15,0)),0)</f>
        <v>100</v>
      </c>
      <c r="K19" s="14">
        <v>2</v>
      </c>
      <c r="L19" s="13">
        <f t="shared" si="0"/>
        <v>200</v>
      </c>
      <c r="M19" s="7"/>
    </row>
    <row r="20" spans="1:13" ht="25.5">
      <c r="A20" s="15">
        <v>16</v>
      </c>
      <c r="B20" s="15"/>
      <c r="C20" s="15" t="s">
        <v>158</v>
      </c>
      <c r="D20" s="16" t="s">
        <v>159</v>
      </c>
      <c r="E20" s="15">
        <v>14</v>
      </c>
      <c r="F20" s="15" t="str">
        <f>IFERROR(INDEX(Categories!$B$5:$B$27,MATCH(E20,Categories!$A$5:$A$27,0)),"")</f>
        <v>Frontend</v>
      </c>
      <c r="G20" s="15" t="s">
        <v>1096</v>
      </c>
      <c r="H20" s="15" t="s">
        <v>97</v>
      </c>
      <c r="I20" s="15" t="s">
        <v>99</v>
      </c>
      <c r="J20" s="17">
        <f>IFERROR(INDEX(Rates!$D$6:$D$15,MATCH(H20&amp;"|"&amp;I20,Rates!$C$6:$C$15,0)),0)</f>
        <v>120</v>
      </c>
      <c r="K20" s="18">
        <v>8</v>
      </c>
      <c r="L20" s="17">
        <f t="shared" si="0"/>
        <v>960</v>
      </c>
      <c r="M20" s="15" t="s">
        <v>161</v>
      </c>
    </row>
    <row r="21" spans="1:13" ht="25.5">
      <c r="A21" s="7">
        <v>17</v>
      </c>
      <c r="B21" s="7"/>
      <c r="C21" s="7" t="s">
        <v>158</v>
      </c>
      <c r="D21" s="8" t="s">
        <v>162</v>
      </c>
      <c r="E21" s="7">
        <v>14</v>
      </c>
      <c r="F21" s="7" t="str">
        <f>IFERROR(INDEX(Categories!$B$5:$B$27,MATCH(E21,Categories!$A$5:$A$27,0)),"")</f>
        <v>Frontend</v>
      </c>
      <c r="G21" s="7" t="s">
        <v>1097</v>
      </c>
      <c r="H21" s="7" t="s">
        <v>97</v>
      </c>
      <c r="I21" s="7" t="s">
        <v>99</v>
      </c>
      <c r="J21" s="13">
        <f>IFERROR(INDEX(Rates!$D$6:$D$15,MATCH(H21&amp;"|"&amp;I21,Rates!$C$6:$C$15,0)),0)</f>
        <v>120</v>
      </c>
      <c r="K21" s="14">
        <v>8</v>
      </c>
      <c r="L21" s="13">
        <f t="shared" si="0"/>
        <v>960</v>
      </c>
      <c r="M21" s="7" t="s">
        <v>164</v>
      </c>
    </row>
    <row r="22" spans="1:13">
      <c r="A22" s="15">
        <v>18</v>
      </c>
      <c r="B22" s="15"/>
      <c r="C22" s="15" t="s">
        <v>158</v>
      </c>
      <c r="D22" s="16" t="s">
        <v>165</v>
      </c>
      <c r="E22" s="15">
        <v>14</v>
      </c>
      <c r="F22" s="15" t="str">
        <f>IFERROR(INDEX(Categories!$B$5:$B$27,MATCH(E22,Categories!$A$5:$A$27,0)),"")</f>
        <v>Frontend</v>
      </c>
      <c r="G22" s="15" t="s">
        <v>1098</v>
      </c>
      <c r="H22" s="15" t="s">
        <v>97</v>
      </c>
      <c r="I22" s="15" t="s">
        <v>99</v>
      </c>
      <c r="J22" s="17">
        <f>IFERROR(INDEX(Rates!$D$6:$D$15,MATCH(H22&amp;"|"&amp;I22,Rates!$C$6:$C$15,0)),0)</f>
        <v>120</v>
      </c>
      <c r="K22" s="18">
        <v>10</v>
      </c>
      <c r="L22" s="17">
        <f t="shared" si="0"/>
        <v>1200</v>
      </c>
      <c r="M22" s="15" t="s">
        <v>922</v>
      </c>
    </row>
    <row r="23" spans="1:13" ht="25.5">
      <c r="A23" s="7">
        <v>19</v>
      </c>
      <c r="B23" s="7"/>
      <c r="C23" s="7" t="s">
        <v>158</v>
      </c>
      <c r="D23" s="8" t="s">
        <v>168</v>
      </c>
      <c r="E23" s="7">
        <v>15</v>
      </c>
      <c r="F23" s="7" t="str">
        <f>IFERROR(INDEX(Categories!$B$5:$B$27,MATCH(E23,Categories!$A$5:$A$27,0)),"")</f>
        <v>Integration</v>
      </c>
      <c r="G23" s="7" t="s">
        <v>923</v>
      </c>
      <c r="H23" s="7" t="s">
        <v>97</v>
      </c>
      <c r="I23" s="7" t="s">
        <v>99</v>
      </c>
      <c r="J23" s="13">
        <f>IFERROR(INDEX(Rates!$D$6:$D$15,MATCH(H23&amp;"|"&amp;I23,Rates!$C$6:$C$15,0)),0)</f>
        <v>120</v>
      </c>
      <c r="K23" s="14">
        <v>12</v>
      </c>
      <c r="L23" s="13">
        <f t="shared" si="0"/>
        <v>1440</v>
      </c>
      <c r="M23" s="7" t="s">
        <v>924</v>
      </c>
    </row>
    <row r="24" spans="1:13">
      <c r="A24" s="15">
        <v>20</v>
      </c>
      <c r="B24" s="15"/>
      <c r="C24" s="15" t="s">
        <v>158</v>
      </c>
      <c r="D24" s="16" t="s">
        <v>171</v>
      </c>
      <c r="E24" s="15">
        <v>14</v>
      </c>
      <c r="F24" s="15" t="str">
        <f>IFERROR(INDEX(Categories!$B$5:$B$27,MATCH(E24,Categories!$A$5:$A$27,0)),"")</f>
        <v>Frontend</v>
      </c>
      <c r="G24" s="15" t="s">
        <v>1099</v>
      </c>
      <c r="H24" s="15" t="s">
        <v>97</v>
      </c>
      <c r="I24" s="15" t="s">
        <v>99</v>
      </c>
      <c r="J24" s="17">
        <f>IFERROR(INDEX(Rates!$D$6:$D$15,MATCH(H24&amp;"|"&amp;I24,Rates!$C$6:$C$15,0)),0)</f>
        <v>120</v>
      </c>
      <c r="K24" s="18">
        <v>12</v>
      </c>
      <c r="L24" s="17">
        <f t="shared" si="0"/>
        <v>1440</v>
      </c>
      <c r="M24" s="15" t="s">
        <v>173</v>
      </c>
    </row>
    <row r="25" spans="1:13" ht="25.5">
      <c r="A25" s="7">
        <v>21</v>
      </c>
      <c r="B25" s="7"/>
      <c r="C25" s="7" t="s">
        <v>193</v>
      </c>
      <c r="D25" s="8" t="s">
        <v>194</v>
      </c>
      <c r="E25" s="7">
        <v>14</v>
      </c>
      <c r="F25" s="7" t="str">
        <f>IFERROR(INDEX(Categories!$B$5:$B$27,MATCH(E25,Categories!$A$5:$A$27,0)),"")</f>
        <v>Frontend</v>
      </c>
      <c r="G25" s="7" t="s">
        <v>1100</v>
      </c>
      <c r="H25" s="7" t="s">
        <v>97</v>
      </c>
      <c r="I25" s="7" t="s">
        <v>99</v>
      </c>
      <c r="J25" s="13">
        <f>IFERROR(INDEX(Rates!$D$6:$D$15,MATCH(H25&amp;"|"&amp;I25,Rates!$C$6:$C$15,0)),0)</f>
        <v>120</v>
      </c>
      <c r="K25" s="14">
        <v>15</v>
      </c>
      <c r="L25" s="13">
        <f t="shared" si="0"/>
        <v>1800</v>
      </c>
      <c r="M25" s="7" t="s">
        <v>927</v>
      </c>
    </row>
    <row r="26" spans="1:13" ht="25.5">
      <c r="A26" s="15">
        <v>22</v>
      </c>
      <c r="B26" s="15"/>
      <c r="C26" s="15" t="s">
        <v>193</v>
      </c>
      <c r="D26" s="16" t="s">
        <v>197</v>
      </c>
      <c r="E26" s="15">
        <v>14</v>
      </c>
      <c r="F26" s="15" t="str">
        <f>IFERROR(INDEX(Categories!$B$5:$B$27,MATCH(E26,Categories!$A$5:$A$27,0)),"")</f>
        <v>Frontend</v>
      </c>
      <c r="G26" s="15" t="s">
        <v>1101</v>
      </c>
      <c r="H26" s="15" t="s">
        <v>97</v>
      </c>
      <c r="I26" s="15" t="s">
        <v>99</v>
      </c>
      <c r="J26" s="17">
        <f>IFERROR(INDEX(Rates!$D$6:$D$15,MATCH(H26&amp;"|"&amp;I26,Rates!$C$6:$C$15,0)),0)</f>
        <v>120</v>
      </c>
      <c r="K26" s="18">
        <v>18</v>
      </c>
      <c r="L26" s="17">
        <f t="shared" si="0"/>
        <v>2160</v>
      </c>
      <c r="M26" s="15" t="s">
        <v>929</v>
      </c>
    </row>
    <row r="27" spans="1:13" ht="25.5">
      <c r="A27" s="7">
        <v>23</v>
      </c>
      <c r="B27" s="7"/>
      <c r="C27" s="7" t="s">
        <v>193</v>
      </c>
      <c r="D27" s="8" t="s">
        <v>200</v>
      </c>
      <c r="E27" s="7">
        <v>14</v>
      </c>
      <c r="F27" s="7" t="str">
        <f>IFERROR(INDEX(Categories!$B$5:$B$27,MATCH(E27,Categories!$A$5:$A$27,0)),"")</f>
        <v>Frontend</v>
      </c>
      <c r="G27" s="7" t="s">
        <v>1102</v>
      </c>
      <c r="H27" s="7" t="s">
        <v>97</v>
      </c>
      <c r="I27" s="7" t="s">
        <v>99</v>
      </c>
      <c r="J27" s="13">
        <f>IFERROR(INDEX(Rates!$D$6:$D$15,MATCH(H27&amp;"|"&amp;I27,Rates!$C$6:$C$15,0)),0)</f>
        <v>120</v>
      </c>
      <c r="K27" s="14">
        <v>15</v>
      </c>
      <c r="L27" s="13">
        <f t="shared" si="0"/>
        <v>1800</v>
      </c>
      <c r="M27" s="7" t="s">
        <v>931</v>
      </c>
    </row>
    <row r="28" spans="1:13" ht="25.5">
      <c r="A28" s="15">
        <v>24</v>
      </c>
      <c r="B28" s="15"/>
      <c r="C28" s="15" t="s">
        <v>193</v>
      </c>
      <c r="D28" s="16" t="s">
        <v>203</v>
      </c>
      <c r="E28" s="15">
        <v>5</v>
      </c>
      <c r="F28" s="15" t="str">
        <f>IFERROR(INDEX(Categories!$B$5:$B$27,MATCH(E28,Categories!$A$5:$A$27,0)),"")</f>
        <v>Custom Tools</v>
      </c>
      <c r="G28" s="15" t="s">
        <v>1103</v>
      </c>
      <c r="H28" s="15" t="s">
        <v>97</v>
      </c>
      <c r="I28" s="15" t="s">
        <v>99</v>
      </c>
      <c r="J28" s="17">
        <f>IFERROR(INDEX(Rates!$D$6:$D$15,MATCH(H28&amp;"|"&amp;I28,Rates!$C$6:$C$15,0)),0)</f>
        <v>120</v>
      </c>
      <c r="K28" s="18">
        <v>18</v>
      </c>
      <c r="L28" s="17">
        <f t="shared" si="0"/>
        <v>2160</v>
      </c>
      <c r="M28" s="15" t="s">
        <v>205</v>
      </c>
    </row>
    <row r="29" spans="1:13" ht="25.5">
      <c r="A29" s="7">
        <v>25</v>
      </c>
      <c r="B29" s="7"/>
      <c r="C29" s="7" t="s">
        <v>206</v>
      </c>
      <c r="D29" s="8" t="s">
        <v>207</v>
      </c>
      <c r="E29" s="7">
        <v>14</v>
      </c>
      <c r="F29" s="7" t="str">
        <f>IFERROR(INDEX(Categories!$B$5:$B$27,MATCH(E29,Categories!$A$5:$A$27,0)),"")</f>
        <v>Frontend</v>
      </c>
      <c r="G29" s="7" t="s">
        <v>1104</v>
      </c>
      <c r="H29" s="7" t="s">
        <v>100</v>
      </c>
      <c r="I29" s="7" t="s">
        <v>98</v>
      </c>
      <c r="J29" s="13">
        <f>IFERROR(INDEX(Rates!$D$6:$D$15,MATCH(H29&amp;"|"&amp;I29,Rates!$C$6:$C$15,0)),0)</f>
        <v>100</v>
      </c>
      <c r="K29" s="14">
        <v>6</v>
      </c>
      <c r="L29" s="13">
        <f t="shared" si="0"/>
        <v>600</v>
      </c>
      <c r="M29" s="7" t="s">
        <v>209</v>
      </c>
    </row>
    <row r="30" spans="1:13">
      <c r="A30" s="15">
        <v>26</v>
      </c>
      <c r="B30" s="15"/>
      <c r="C30" s="15" t="s">
        <v>206</v>
      </c>
      <c r="D30" s="16" t="s">
        <v>210</v>
      </c>
      <c r="E30" s="15">
        <v>14</v>
      </c>
      <c r="F30" s="15" t="str">
        <f>IFERROR(INDEX(Categories!$B$5:$B$27,MATCH(E30,Categories!$A$5:$A$27,0)),"")</f>
        <v>Frontend</v>
      </c>
      <c r="G30" s="15" t="s">
        <v>933</v>
      </c>
      <c r="H30" s="15" t="s">
        <v>97</v>
      </c>
      <c r="I30" s="15" t="s">
        <v>99</v>
      </c>
      <c r="J30" s="17">
        <f>IFERROR(INDEX(Rates!$D$6:$D$15,MATCH(H30&amp;"|"&amp;I30,Rates!$C$6:$C$15,0)),0)</f>
        <v>120</v>
      </c>
      <c r="K30" s="18">
        <v>5</v>
      </c>
      <c r="L30" s="17">
        <f t="shared" si="0"/>
        <v>600</v>
      </c>
      <c r="M30" s="15" t="s">
        <v>212</v>
      </c>
    </row>
    <row r="31" spans="1:13" ht="25.5">
      <c r="A31" s="7">
        <v>27</v>
      </c>
      <c r="B31" s="7"/>
      <c r="C31" s="7" t="s">
        <v>206</v>
      </c>
      <c r="D31" s="8" t="s">
        <v>213</v>
      </c>
      <c r="E31" s="7">
        <v>14</v>
      </c>
      <c r="F31" s="7" t="str">
        <f>IFERROR(INDEX(Categories!$B$5:$B$27,MATCH(E31,Categories!$A$5:$A$27,0)),"")</f>
        <v>Frontend</v>
      </c>
      <c r="G31" s="7" t="s">
        <v>1105</v>
      </c>
      <c r="H31" s="7" t="s">
        <v>97</v>
      </c>
      <c r="I31" s="7" t="s">
        <v>98</v>
      </c>
      <c r="J31" s="13">
        <f>IFERROR(INDEX(Rates!$D$6:$D$15,MATCH(H31&amp;"|"&amp;I31,Rates!$C$6:$C$15,0)),0)</f>
        <v>100</v>
      </c>
      <c r="K31" s="14">
        <v>4</v>
      </c>
      <c r="L31" s="13">
        <f t="shared" si="0"/>
        <v>400</v>
      </c>
      <c r="M31" s="7" t="s">
        <v>215</v>
      </c>
    </row>
    <row r="32" spans="1:13">
      <c r="A32" s="15">
        <v>28</v>
      </c>
      <c r="B32" s="15"/>
      <c r="C32" s="15" t="s">
        <v>206</v>
      </c>
      <c r="D32" s="16" t="s">
        <v>216</v>
      </c>
      <c r="E32" s="15">
        <v>14</v>
      </c>
      <c r="F32" s="15" t="str">
        <f>IFERROR(INDEX(Categories!$B$5:$B$27,MATCH(E32,Categories!$A$5:$A$27,0)),"")</f>
        <v>Frontend</v>
      </c>
      <c r="G32" s="15" t="s">
        <v>1106</v>
      </c>
      <c r="H32" s="15" t="s">
        <v>97</v>
      </c>
      <c r="I32" s="15" t="s">
        <v>99</v>
      </c>
      <c r="J32" s="17">
        <f>IFERROR(INDEX(Rates!$D$6:$D$15,MATCH(H32&amp;"|"&amp;I32,Rates!$C$6:$C$15,0)),0)</f>
        <v>120</v>
      </c>
      <c r="K32" s="18">
        <v>5</v>
      </c>
      <c r="L32" s="17">
        <f t="shared" si="0"/>
        <v>600</v>
      </c>
      <c r="M32" s="15" t="s">
        <v>218</v>
      </c>
    </row>
    <row r="33" spans="1:13">
      <c r="A33" s="7">
        <v>29</v>
      </c>
      <c r="B33" s="7"/>
      <c r="C33" s="7" t="s">
        <v>206</v>
      </c>
      <c r="D33" s="8" t="s">
        <v>219</v>
      </c>
      <c r="E33" s="7">
        <v>14</v>
      </c>
      <c r="F33" s="7" t="str">
        <f>IFERROR(INDEX(Categories!$B$5:$B$27,MATCH(E33,Categories!$A$5:$A$27,0)),"")</f>
        <v>Frontend</v>
      </c>
      <c r="G33" s="7" t="s">
        <v>1107</v>
      </c>
      <c r="H33" s="7" t="s">
        <v>97</v>
      </c>
      <c r="I33" s="7" t="s">
        <v>98</v>
      </c>
      <c r="J33" s="13">
        <f>IFERROR(INDEX(Rates!$D$6:$D$15,MATCH(H33&amp;"|"&amp;I33,Rates!$C$6:$C$15,0)),0)</f>
        <v>100</v>
      </c>
      <c r="K33" s="14">
        <v>5</v>
      </c>
      <c r="L33" s="13">
        <f t="shared" si="0"/>
        <v>500</v>
      </c>
      <c r="M33" s="7" t="s">
        <v>221</v>
      </c>
    </row>
    <row r="34" spans="1:13">
      <c r="A34" s="15">
        <v>30</v>
      </c>
      <c r="B34" s="15"/>
      <c r="C34" s="15" t="s">
        <v>130</v>
      </c>
      <c r="D34" s="16" t="s">
        <v>222</v>
      </c>
      <c r="E34" s="15">
        <v>14</v>
      </c>
      <c r="F34" s="15" t="str">
        <f>IFERROR(INDEX(Categories!$B$5:$B$27,MATCH(E34,Categories!$A$5:$A$27,0)),"")</f>
        <v>Frontend</v>
      </c>
      <c r="G34" s="15" t="s">
        <v>1108</v>
      </c>
      <c r="H34" s="15" t="s">
        <v>97</v>
      </c>
      <c r="I34" s="15" t="s">
        <v>98</v>
      </c>
      <c r="J34" s="17">
        <f>IFERROR(INDEX(Rates!$D$6:$D$15,MATCH(H34&amp;"|"&amp;I34,Rates!$C$6:$C$15,0)),0)</f>
        <v>100</v>
      </c>
      <c r="K34" s="18">
        <v>2</v>
      </c>
      <c r="L34" s="17">
        <f t="shared" si="0"/>
        <v>200</v>
      </c>
      <c r="M34" s="15" t="s">
        <v>590</v>
      </c>
    </row>
    <row r="35" spans="1:13" ht="25.5">
      <c r="A35" s="7">
        <v>31</v>
      </c>
      <c r="B35" s="7"/>
      <c r="C35" s="7" t="s">
        <v>130</v>
      </c>
      <c r="D35" s="8" t="s">
        <v>190</v>
      </c>
      <c r="E35" s="7">
        <v>18</v>
      </c>
      <c r="F35" s="7" t="str">
        <f>IFERROR(INDEX(Categories!$B$5:$B$27,MATCH(E35,Categories!$A$5:$A$27,0)),"")</f>
        <v>Performance &amp; Security</v>
      </c>
      <c r="G35" s="7" t="s">
        <v>1109</v>
      </c>
      <c r="H35" s="7" t="s">
        <v>97</v>
      </c>
      <c r="I35" s="7" t="s">
        <v>98</v>
      </c>
      <c r="J35" s="13">
        <f>IFERROR(INDEX(Rates!$D$6:$D$15,MATCH(H35&amp;"|"&amp;I35,Rates!$C$6:$C$15,0)),0)</f>
        <v>100</v>
      </c>
      <c r="K35" s="14">
        <v>1</v>
      </c>
      <c r="L35" s="13">
        <f t="shared" si="0"/>
        <v>100</v>
      </c>
      <c r="M35" s="7" t="s">
        <v>734</v>
      </c>
    </row>
    <row r="36" spans="1:13" ht="25.5">
      <c r="A36" s="15">
        <v>32</v>
      </c>
      <c r="B36" s="15"/>
      <c r="C36" s="15" t="s">
        <v>193</v>
      </c>
      <c r="D36" s="16" t="s">
        <v>229</v>
      </c>
      <c r="E36" s="15">
        <v>14</v>
      </c>
      <c r="F36" s="15" t="str">
        <f>IFERROR(INDEX(Categories!$B$5:$B$27,MATCH(E36,Categories!$A$5:$A$27,0)),"")</f>
        <v>Frontend</v>
      </c>
      <c r="G36" s="15" t="s">
        <v>1110</v>
      </c>
      <c r="H36" s="15" t="s">
        <v>97</v>
      </c>
      <c r="I36" s="15" t="s">
        <v>99</v>
      </c>
      <c r="J36" s="17">
        <f>IFERROR(INDEX(Rates!$D$6:$D$15,MATCH(H36&amp;"|"&amp;I36,Rates!$C$6:$C$15,0)),0)</f>
        <v>120</v>
      </c>
      <c r="K36" s="18">
        <v>20</v>
      </c>
      <c r="L36" s="17">
        <f t="shared" si="0"/>
        <v>2400</v>
      </c>
      <c r="M36" s="15"/>
    </row>
    <row r="37" spans="1:13" ht="25.5">
      <c r="A37" s="7">
        <v>33</v>
      </c>
      <c r="B37" s="7"/>
      <c r="C37" s="7" t="s">
        <v>174</v>
      </c>
      <c r="D37" s="8" t="s">
        <v>175</v>
      </c>
      <c r="E37" s="7">
        <v>14</v>
      </c>
      <c r="F37" s="7" t="str">
        <f>IFERROR(INDEX(Categories!$B$5:$B$27,MATCH(E37,Categories!$A$5:$A$27,0)),"")</f>
        <v>Frontend</v>
      </c>
      <c r="G37" s="7" t="s">
        <v>940</v>
      </c>
      <c r="H37" s="7" t="s">
        <v>97</v>
      </c>
      <c r="I37" s="7" t="s">
        <v>98</v>
      </c>
      <c r="J37" s="13">
        <f>IFERROR(INDEX(Rates!$D$6:$D$15,MATCH(H37&amp;"|"&amp;I37,Rates!$C$6:$C$15,0)),0)</f>
        <v>100</v>
      </c>
      <c r="K37" s="14">
        <v>8</v>
      </c>
      <c r="L37" s="13">
        <f t="shared" ref="L37:L68" si="1">K37*J37</f>
        <v>800</v>
      </c>
      <c r="M37" s="7" t="s">
        <v>601</v>
      </c>
    </row>
    <row r="38" spans="1:13" ht="25.5">
      <c r="A38" s="15">
        <v>34</v>
      </c>
      <c r="B38" s="15"/>
      <c r="C38" s="15" t="s">
        <v>178</v>
      </c>
      <c r="D38" s="16" t="s">
        <v>179</v>
      </c>
      <c r="E38" s="15">
        <v>14</v>
      </c>
      <c r="F38" s="15" t="str">
        <f>IFERROR(INDEX(Categories!$B$5:$B$27,MATCH(E38,Categories!$A$5:$A$27,0)),"")</f>
        <v>Frontend</v>
      </c>
      <c r="G38" s="15" t="s">
        <v>1111</v>
      </c>
      <c r="H38" s="15" t="s">
        <v>97</v>
      </c>
      <c r="I38" s="15" t="s">
        <v>98</v>
      </c>
      <c r="J38" s="17">
        <f>IFERROR(INDEX(Rates!$D$6:$D$15,MATCH(H38&amp;"|"&amp;I38,Rates!$C$6:$C$15,0)),0)</f>
        <v>100</v>
      </c>
      <c r="K38" s="18">
        <v>8</v>
      </c>
      <c r="L38" s="17">
        <f t="shared" si="1"/>
        <v>800</v>
      </c>
      <c r="M38" s="15" t="s">
        <v>604</v>
      </c>
    </row>
    <row r="39" spans="1:13" ht="25.5">
      <c r="A39" s="7">
        <v>35</v>
      </c>
      <c r="B39" s="7"/>
      <c r="C39" s="7" t="s">
        <v>182</v>
      </c>
      <c r="D39" s="8" t="s">
        <v>605</v>
      </c>
      <c r="E39" s="7">
        <v>14</v>
      </c>
      <c r="F39" s="7" t="str">
        <f>IFERROR(INDEX(Categories!$B$5:$B$27,MATCH(E39,Categories!$A$5:$A$27,0)),"")</f>
        <v>Frontend</v>
      </c>
      <c r="G39" s="7" t="s">
        <v>1112</v>
      </c>
      <c r="H39" s="7" t="s">
        <v>97</v>
      </c>
      <c r="I39" s="7" t="s">
        <v>98</v>
      </c>
      <c r="J39" s="13">
        <f>IFERROR(INDEX(Rates!$D$6:$D$15,MATCH(H39&amp;"|"&amp;I39,Rates!$C$6:$C$15,0)),0)</f>
        <v>100</v>
      </c>
      <c r="K39" s="14">
        <v>6</v>
      </c>
      <c r="L39" s="13">
        <f t="shared" si="1"/>
        <v>600</v>
      </c>
      <c r="M39" s="7" t="s">
        <v>607</v>
      </c>
    </row>
    <row r="40" spans="1:13">
      <c r="A40" s="15">
        <v>36</v>
      </c>
      <c r="B40" s="15"/>
      <c r="C40" s="15" t="s">
        <v>186</v>
      </c>
      <c r="D40" s="16" t="s">
        <v>1113</v>
      </c>
      <c r="E40" s="15">
        <v>14</v>
      </c>
      <c r="F40" s="15" t="str">
        <f>IFERROR(INDEX(Categories!$B$5:$B$27,MATCH(E40,Categories!$A$5:$A$27,0)),"")</f>
        <v>Frontend</v>
      </c>
      <c r="G40" s="15" t="s">
        <v>944</v>
      </c>
      <c r="H40" s="15" t="s">
        <v>97</v>
      </c>
      <c r="I40" s="15" t="s">
        <v>98</v>
      </c>
      <c r="J40" s="17">
        <f>IFERROR(INDEX(Rates!$D$6:$D$15,MATCH(H40&amp;"|"&amp;I40,Rates!$C$6:$C$15,0)),0)</f>
        <v>100</v>
      </c>
      <c r="K40" s="18">
        <v>6</v>
      </c>
      <c r="L40" s="17">
        <f t="shared" si="1"/>
        <v>600</v>
      </c>
      <c r="M40" s="15"/>
    </row>
    <row r="41" spans="1:13">
      <c r="A41" s="7">
        <v>37</v>
      </c>
      <c r="B41" s="7"/>
      <c r="C41" s="7" t="s">
        <v>232</v>
      </c>
      <c r="D41" s="8" t="s">
        <v>741</v>
      </c>
      <c r="E41" s="7">
        <v>14</v>
      </c>
      <c r="F41" s="7" t="str">
        <f>IFERROR(INDEX(Categories!$B$5:$B$27,MATCH(E41,Categories!$A$5:$A$27,0)),"")</f>
        <v>Frontend</v>
      </c>
      <c r="G41" s="7" t="s">
        <v>1114</v>
      </c>
      <c r="H41" s="7" t="s">
        <v>97</v>
      </c>
      <c r="I41" s="7" t="s">
        <v>98</v>
      </c>
      <c r="J41" s="13">
        <f>IFERROR(INDEX(Rates!$D$6:$D$15,MATCH(H41&amp;"|"&amp;I41,Rates!$C$6:$C$15,0)),0)</f>
        <v>100</v>
      </c>
      <c r="K41" s="14">
        <v>3</v>
      </c>
      <c r="L41" s="13">
        <f t="shared" si="1"/>
        <v>300</v>
      </c>
      <c r="M41" s="7" t="s">
        <v>235</v>
      </c>
    </row>
    <row r="42" spans="1:13">
      <c r="A42" s="15">
        <v>38</v>
      </c>
      <c r="B42" s="15"/>
      <c r="C42" s="15" t="s">
        <v>236</v>
      </c>
      <c r="D42" s="16" t="s">
        <v>237</v>
      </c>
      <c r="E42" s="15">
        <v>14</v>
      </c>
      <c r="F42" s="15" t="str">
        <f>IFERROR(INDEX(Categories!$B$5:$B$27,MATCH(E42,Categories!$A$5:$A$27,0)),"")</f>
        <v>Frontend</v>
      </c>
      <c r="G42" s="15" t="s">
        <v>954</v>
      </c>
      <c r="H42" s="15" t="s">
        <v>97</v>
      </c>
      <c r="I42" s="15" t="s">
        <v>99</v>
      </c>
      <c r="J42" s="17">
        <f>IFERROR(INDEX(Rates!$D$6:$D$15,MATCH(H42&amp;"|"&amp;I42,Rates!$C$6:$C$15,0)),0)</f>
        <v>120</v>
      </c>
      <c r="K42" s="18">
        <v>4</v>
      </c>
      <c r="L42" s="17">
        <f t="shared" si="1"/>
        <v>480</v>
      </c>
      <c r="M42" s="15" t="s">
        <v>239</v>
      </c>
    </row>
    <row r="43" spans="1:13">
      <c r="A43" s="7">
        <v>39</v>
      </c>
      <c r="B43" s="7"/>
      <c r="C43" s="7" t="s">
        <v>236</v>
      </c>
      <c r="D43" s="8" t="s">
        <v>240</v>
      </c>
      <c r="E43" s="7">
        <v>14</v>
      </c>
      <c r="F43" s="7" t="str">
        <f>IFERROR(INDEX(Categories!$B$5:$B$27,MATCH(E43,Categories!$A$5:$A$27,0)),"")</f>
        <v>Frontend</v>
      </c>
      <c r="G43" s="7" t="s">
        <v>955</v>
      </c>
      <c r="H43" s="7" t="s">
        <v>97</v>
      </c>
      <c r="I43" s="7" t="s">
        <v>99</v>
      </c>
      <c r="J43" s="13">
        <f>IFERROR(INDEX(Rates!$D$6:$D$15,MATCH(H43&amp;"|"&amp;I43,Rates!$C$6:$C$15,0)),0)</f>
        <v>120</v>
      </c>
      <c r="K43" s="14">
        <v>4</v>
      </c>
      <c r="L43" s="13">
        <f t="shared" si="1"/>
        <v>480</v>
      </c>
      <c r="M43" s="7" t="s">
        <v>956</v>
      </c>
    </row>
    <row r="44" spans="1:13">
      <c r="A44" s="15">
        <v>40</v>
      </c>
      <c r="B44" s="15"/>
      <c r="C44" s="15" t="s">
        <v>236</v>
      </c>
      <c r="D44" s="16" t="s">
        <v>243</v>
      </c>
      <c r="E44" s="15">
        <v>2</v>
      </c>
      <c r="F44" s="15" t="str">
        <f>IFERROR(INDEX(Categories!$B$5:$B$27,MATCH(E44,Categories!$A$5:$A$27,0)),"")</f>
        <v>Backend</v>
      </c>
      <c r="G44" s="15" t="s">
        <v>1115</v>
      </c>
      <c r="H44" s="15" t="s">
        <v>97</v>
      </c>
      <c r="I44" s="15" t="s">
        <v>99</v>
      </c>
      <c r="J44" s="17">
        <f>IFERROR(INDEX(Rates!$D$6:$D$15,MATCH(H44&amp;"|"&amp;I44,Rates!$C$6:$C$15,0)),0)</f>
        <v>120</v>
      </c>
      <c r="K44" s="18">
        <v>2</v>
      </c>
      <c r="L44" s="17">
        <f t="shared" si="1"/>
        <v>240</v>
      </c>
      <c r="M44" s="15" t="s">
        <v>245</v>
      </c>
    </row>
    <row r="45" spans="1:13" ht="25.5">
      <c r="A45" s="7">
        <v>41</v>
      </c>
      <c r="B45" s="7"/>
      <c r="C45" s="7" t="s">
        <v>247</v>
      </c>
      <c r="D45" s="8" t="s">
        <v>248</v>
      </c>
      <c r="E45" s="7">
        <v>15</v>
      </c>
      <c r="F45" s="7" t="str">
        <f>IFERROR(INDEX(Categories!$B$5:$B$27,MATCH(E45,Categories!$A$5:$A$27,0)),"")</f>
        <v>Integration</v>
      </c>
      <c r="G45" s="7" t="s">
        <v>1116</v>
      </c>
      <c r="H45" s="7" t="s">
        <v>97</v>
      </c>
      <c r="I45" s="7" t="s">
        <v>99</v>
      </c>
      <c r="J45" s="13">
        <f>IFERROR(INDEX(Rates!$D$6:$D$15,MATCH(H45&amp;"|"&amp;I45,Rates!$C$6:$C$15,0)),0)</f>
        <v>120</v>
      </c>
      <c r="K45" s="14">
        <v>4</v>
      </c>
      <c r="L45" s="13">
        <f t="shared" si="1"/>
        <v>480</v>
      </c>
      <c r="M45" s="7" t="s">
        <v>250</v>
      </c>
    </row>
    <row r="46" spans="1:13">
      <c r="A46" s="15">
        <v>42</v>
      </c>
      <c r="B46" s="15"/>
      <c r="C46" s="15" t="s">
        <v>247</v>
      </c>
      <c r="D46" s="16" t="s">
        <v>251</v>
      </c>
      <c r="E46" s="15">
        <v>15</v>
      </c>
      <c r="F46" s="15" t="str">
        <f>IFERROR(INDEX(Categories!$B$5:$B$27,MATCH(E46,Categories!$A$5:$A$27,0)),"")</f>
        <v>Integration</v>
      </c>
      <c r="G46" s="15" t="s">
        <v>1117</v>
      </c>
      <c r="H46" s="15" t="s">
        <v>97</v>
      </c>
      <c r="I46" s="15" t="s">
        <v>99</v>
      </c>
      <c r="J46" s="17">
        <f>IFERROR(INDEX(Rates!$D$6:$D$15,MATCH(H46&amp;"|"&amp;I46,Rates!$C$6:$C$15,0)),0)</f>
        <v>120</v>
      </c>
      <c r="K46" s="18">
        <v>2</v>
      </c>
      <c r="L46" s="17">
        <f t="shared" si="1"/>
        <v>240</v>
      </c>
      <c r="M46" s="15" t="s">
        <v>253</v>
      </c>
    </row>
    <row r="47" spans="1:13">
      <c r="A47" s="7">
        <v>43</v>
      </c>
      <c r="B47" s="7"/>
      <c r="C47" s="7" t="s">
        <v>247</v>
      </c>
      <c r="D47" s="8" t="s">
        <v>254</v>
      </c>
      <c r="E47" s="7">
        <v>15</v>
      </c>
      <c r="F47" s="7" t="str">
        <f>IFERROR(INDEX(Categories!$B$5:$B$27,MATCH(E47,Categories!$A$5:$A$27,0)),"")</f>
        <v>Integration</v>
      </c>
      <c r="G47" s="7" t="s">
        <v>1118</v>
      </c>
      <c r="H47" s="7" t="s">
        <v>97</v>
      </c>
      <c r="I47" s="7" t="s">
        <v>99</v>
      </c>
      <c r="J47" s="13">
        <f>IFERROR(INDEX(Rates!$D$6:$D$15,MATCH(H47&amp;"|"&amp;I47,Rates!$C$6:$C$15,0)),0)</f>
        <v>120</v>
      </c>
      <c r="K47" s="14">
        <v>2</v>
      </c>
      <c r="L47" s="13">
        <f t="shared" si="1"/>
        <v>240</v>
      </c>
      <c r="M47" s="7" t="s">
        <v>256</v>
      </c>
    </row>
    <row r="48" spans="1:13">
      <c r="A48" s="15">
        <v>44</v>
      </c>
      <c r="B48" s="15"/>
      <c r="C48" s="15" t="s">
        <v>257</v>
      </c>
      <c r="D48" s="16" t="s">
        <v>258</v>
      </c>
      <c r="E48" s="15">
        <v>15</v>
      </c>
      <c r="F48" s="15" t="str">
        <f>IFERROR(INDEX(Categories!$B$5:$B$27,MATCH(E48,Categories!$A$5:$A$27,0)),"")</f>
        <v>Integration</v>
      </c>
      <c r="G48" s="15" t="s">
        <v>1119</v>
      </c>
      <c r="H48" s="15" t="s">
        <v>97</v>
      </c>
      <c r="I48" s="15" t="s">
        <v>98</v>
      </c>
      <c r="J48" s="17">
        <f>IFERROR(INDEX(Rates!$D$6:$D$15,MATCH(H48&amp;"|"&amp;I48,Rates!$C$6:$C$15,0)),0)</f>
        <v>100</v>
      </c>
      <c r="K48" s="18">
        <v>3</v>
      </c>
      <c r="L48" s="17">
        <f t="shared" si="1"/>
        <v>300</v>
      </c>
      <c r="M48" s="15" t="s">
        <v>747</v>
      </c>
    </row>
    <row r="49" spans="1:13">
      <c r="A49" s="7">
        <v>45</v>
      </c>
      <c r="B49" s="7"/>
      <c r="C49" s="7" t="s">
        <v>257</v>
      </c>
      <c r="D49" s="8" t="s">
        <v>261</v>
      </c>
      <c r="E49" s="7">
        <v>15</v>
      </c>
      <c r="F49" s="7" t="str">
        <f>IFERROR(INDEX(Categories!$B$5:$B$27,MATCH(E49,Categories!$A$5:$A$27,0)),"")</f>
        <v>Integration</v>
      </c>
      <c r="G49" s="7" t="s">
        <v>962</v>
      </c>
      <c r="H49" s="7" t="s">
        <v>97</v>
      </c>
      <c r="I49" s="7" t="s">
        <v>98</v>
      </c>
      <c r="J49" s="13">
        <f>IFERROR(INDEX(Rates!$D$6:$D$15,MATCH(H49&amp;"|"&amp;I49,Rates!$C$6:$C$15,0)),0)</f>
        <v>100</v>
      </c>
      <c r="K49" s="14">
        <v>2</v>
      </c>
      <c r="L49" s="13">
        <f t="shared" si="1"/>
        <v>200</v>
      </c>
      <c r="M49" s="7" t="s">
        <v>749</v>
      </c>
    </row>
    <row r="50" spans="1:13">
      <c r="A50" s="15">
        <v>46</v>
      </c>
      <c r="B50" s="15"/>
      <c r="C50" s="15" t="s">
        <v>257</v>
      </c>
      <c r="D50" s="16" t="s">
        <v>264</v>
      </c>
      <c r="E50" s="15">
        <v>15</v>
      </c>
      <c r="F50" s="15" t="str">
        <f>IFERROR(INDEX(Categories!$B$5:$B$27,MATCH(E50,Categories!$A$5:$A$27,0)),"")</f>
        <v>Integration</v>
      </c>
      <c r="G50" s="15" t="s">
        <v>963</v>
      </c>
      <c r="H50" s="15" t="s">
        <v>97</v>
      </c>
      <c r="I50" s="15" t="s">
        <v>99</v>
      </c>
      <c r="J50" s="17">
        <f>IFERROR(INDEX(Rates!$D$6:$D$15,MATCH(H50&amp;"|"&amp;I50,Rates!$C$6:$C$15,0)),0)</f>
        <v>120</v>
      </c>
      <c r="K50" s="18">
        <v>12</v>
      </c>
      <c r="L50" s="17">
        <f t="shared" si="1"/>
        <v>1440</v>
      </c>
      <c r="M50" s="15" t="s">
        <v>266</v>
      </c>
    </row>
    <row r="51" spans="1:13" ht="25.5">
      <c r="A51" s="7">
        <v>47</v>
      </c>
      <c r="B51" s="7"/>
      <c r="C51" s="7" t="s">
        <v>257</v>
      </c>
      <c r="D51" s="8" t="s">
        <v>267</v>
      </c>
      <c r="E51" s="7">
        <v>15</v>
      </c>
      <c r="F51" s="7" t="str">
        <f>IFERROR(INDEX(Categories!$B$5:$B$27,MATCH(E51,Categories!$A$5:$A$27,0)),"")</f>
        <v>Integration</v>
      </c>
      <c r="G51" s="7" t="s">
        <v>964</v>
      </c>
      <c r="H51" s="7" t="s">
        <v>97</v>
      </c>
      <c r="I51" s="7" t="s">
        <v>99</v>
      </c>
      <c r="J51" s="13">
        <f>IFERROR(INDEX(Rates!$D$6:$D$15,MATCH(H51&amp;"|"&amp;I51,Rates!$C$6:$C$15,0)),0)</f>
        <v>120</v>
      </c>
      <c r="K51" s="14">
        <v>25</v>
      </c>
      <c r="L51" s="13">
        <f t="shared" si="1"/>
        <v>3000</v>
      </c>
      <c r="M51" s="7" t="s">
        <v>269</v>
      </c>
    </row>
    <row r="52" spans="1:13" ht="25.5">
      <c r="A52" s="15">
        <v>48</v>
      </c>
      <c r="B52" s="15"/>
      <c r="C52" s="15" t="s">
        <v>257</v>
      </c>
      <c r="D52" s="16" t="s">
        <v>270</v>
      </c>
      <c r="E52" s="15">
        <v>15</v>
      </c>
      <c r="F52" s="15" t="str">
        <f>IFERROR(INDEX(Categories!$B$5:$B$27,MATCH(E52,Categories!$A$5:$A$27,0)),"")</f>
        <v>Integration</v>
      </c>
      <c r="G52" s="15" t="s">
        <v>965</v>
      </c>
      <c r="H52" s="15" t="s">
        <v>97</v>
      </c>
      <c r="I52" s="15" t="s">
        <v>98</v>
      </c>
      <c r="J52" s="17">
        <f>IFERROR(INDEX(Rates!$D$6:$D$15,MATCH(H52&amp;"|"&amp;I52,Rates!$C$6:$C$15,0)),0)</f>
        <v>100</v>
      </c>
      <c r="K52" s="18">
        <v>6</v>
      </c>
      <c r="L52" s="17">
        <f t="shared" si="1"/>
        <v>600</v>
      </c>
      <c r="M52" s="15" t="s">
        <v>597</v>
      </c>
    </row>
    <row r="53" spans="1:13">
      <c r="A53" s="7">
        <v>49</v>
      </c>
      <c r="B53" s="7"/>
      <c r="C53" s="7" t="s">
        <v>257</v>
      </c>
      <c r="D53" s="8" t="s">
        <v>273</v>
      </c>
      <c r="E53" s="7">
        <v>1</v>
      </c>
      <c r="F53" s="7" t="str">
        <f>IFERROR(INDEX(Categories!$B$5:$B$27,MATCH(E53,Categories!$A$5:$A$27,0)),"")</f>
        <v>Accessibility</v>
      </c>
      <c r="G53" s="7" t="s">
        <v>966</v>
      </c>
      <c r="H53" s="7" t="s">
        <v>97</v>
      </c>
      <c r="I53" s="7" t="s">
        <v>98</v>
      </c>
      <c r="J53" s="13">
        <f>IFERROR(INDEX(Rates!$D$6:$D$15,MATCH(H53&amp;"|"&amp;I53,Rates!$C$6:$C$15,0)),0)</f>
        <v>100</v>
      </c>
      <c r="K53" s="14">
        <v>6</v>
      </c>
      <c r="L53" s="13">
        <f t="shared" si="1"/>
        <v>600</v>
      </c>
      <c r="M53" s="7" t="s">
        <v>967</v>
      </c>
    </row>
    <row r="54" spans="1:13" ht="25.5">
      <c r="A54" s="15">
        <v>50</v>
      </c>
      <c r="B54" s="15"/>
      <c r="C54" s="15" t="s">
        <v>257</v>
      </c>
      <c r="D54" s="16" t="s">
        <v>276</v>
      </c>
      <c r="E54" s="15">
        <v>1</v>
      </c>
      <c r="F54" s="15" t="str">
        <f>IFERROR(INDEX(Categories!$B$5:$B$27,MATCH(E54,Categories!$A$5:$A$27,0)),"")</f>
        <v>Accessibility</v>
      </c>
      <c r="G54" s="15" t="s">
        <v>969</v>
      </c>
      <c r="H54" s="15" t="s">
        <v>97</v>
      </c>
      <c r="I54" s="15" t="s">
        <v>99</v>
      </c>
      <c r="J54" s="17">
        <f>IFERROR(INDEX(Rates!$D$6:$D$15,MATCH(H54&amp;"|"&amp;I54,Rates!$C$6:$C$15,0)),0)</f>
        <v>120</v>
      </c>
      <c r="K54" s="18">
        <v>25</v>
      </c>
      <c r="L54" s="17">
        <f t="shared" si="1"/>
        <v>3000</v>
      </c>
      <c r="M54" s="15" t="s">
        <v>970</v>
      </c>
    </row>
    <row r="55" spans="1:13" ht="25.5">
      <c r="A55" s="7">
        <v>51</v>
      </c>
      <c r="B55" s="7"/>
      <c r="C55" s="7" t="s">
        <v>279</v>
      </c>
      <c r="D55" s="8" t="s">
        <v>280</v>
      </c>
      <c r="E55" s="7">
        <v>2</v>
      </c>
      <c r="F55" s="7" t="str">
        <f>IFERROR(INDEX(Categories!$B$5:$B$27,MATCH(E55,Categories!$A$5:$A$27,0)),"")</f>
        <v>Backend</v>
      </c>
      <c r="G55" s="7" t="s">
        <v>1120</v>
      </c>
      <c r="H55" s="7" t="s">
        <v>97</v>
      </c>
      <c r="I55" s="7" t="s">
        <v>99</v>
      </c>
      <c r="J55" s="13">
        <f>IFERROR(INDEX(Rates!$D$6:$D$15,MATCH(H55&amp;"|"&amp;I55,Rates!$C$6:$C$15,0)),0)</f>
        <v>120</v>
      </c>
      <c r="K55" s="14">
        <v>10</v>
      </c>
      <c r="L55" s="13">
        <f t="shared" si="1"/>
        <v>1200</v>
      </c>
      <c r="M55" s="7" t="s">
        <v>973</v>
      </c>
    </row>
    <row r="56" spans="1:13">
      <c r="A56" s="15">
        <v>52</v>
      </c>
      <c r="B56" s="15"/>
      <c r="C56" s="15" t="s">
        <v>279</v>
      </c>
      <c r="D56" s="16" t="s">
        <v>283</v>
      </c>
      <c r="E56" s="15">
        <v>2</v>
      </c>
      <c r="F56" s="15" t="str">
        <f>IFERROR(INDEX(Categories!$B$5:$B$27,MATCH(E56,Categories!$A$5:$A$27,0)),"")</f>
        <v>Backend</v>
      </c>
      <c r="G56" s="15" t="s">
        <v>864</v>
      </c>
      <c r="H56" s="15" t="s">
        <v>97</v>
      </c>
      <c r="I56" s="15" t="s">
        <v>99</v>
      </c>
      <c r="J56" s="17">
        <f>IFERROR(INDEX(Rates!$D$6:$D$15,MATCH(H56&amp;"|"&amp;I56,Rates!$C$6:$C$15,0)),0)</f>
        <v>120</v>
      </c>
      <c r="K56" s="18">
        <v>10</v>
      </c>
      <c r="L56" s="17">
        <f t="shared" si="1"/>
        <v>1200</v>
      </c>
      <c r="M56" s="15" t="s">
        <v>285</v>
      </c>
    </row>
    <row r="57" spans="1:13">
      <c r="A57" s="7">
        <v>53</v>
      </c>
      <c r="B57" s="7"/>
      <c r="C57" s="7" t="s">
        <v>279</v>
      </c>
      <c r="D57" s="8" t="s">
        <v>286</v>
      </c>
      <c r="E57" s="7">
        <v>2</v>
      </c>
      <c r="F57" s="7" t="str">
        <f>IFERROR(INDEX(Categories!$B$5:$B$27,MATCH(E57,Categories!$A$5:$A$27,0)),"")</f>
        <v>Backend</v>
      </c>
      <c r="G57" s="7" t="s">
        <v>1121</v>
      </c>
      <c r="H57" s="7" t="s">
        <v>97</v>
      </c>
      <c r="I57" s="7" t="s">
        <v>99</v>
      </c>
      <c r="J57" s="13">
        <f>IFERROR(INDEX(Rates!$D$6:$D$15,MATCH(H57&amp;"|"&amp;I57,Rates!$C$6:$C$15,0)),0)</f>
        <v>120</v>
      </c>
      <c r="K57" s="14">
        <v>12</v>
      </c>
      <c r="L57" s="13">
        <f t="shared" si="1"/>
        <v>1440</v>
      </c>
      <c r="M57" s="7" t="s">
        <v>288</v>
      </c>
    </row>
    <row r="58" spans="1:13" ht="25.5">
      <c r="A58" s="15">
        <v>54</v>
      </c>
      <c r="B58" s="15"/>
      <c r="C58" s="15" t="s">
        <v>279</v>
      </c>
      <c r="D58" s="16" t="s">
        <v>289</v>
      </c>
      <c r="E58" s="15">
        <v>2</v>
      </c>
      <c r="F58" s="15" t="str">
        <f>IFERROR(INDEX(Categories!$B$5:$B$27,MATCH(E58,Categories!$A$5:$A$27,0)),"")</f>
        <v>Backend</v>
      </c>
      <c r="G58" s="15" t="s">
        <v>1122</v>
      </c>
      <c r="H58" s="15" t="s">
        <v>97</v>
      </c>
      <c r="I58" s="15" t="s">
        <v>99</v>
      </c>
      <c r="J58" s="17">
        <f>IFERROR(INDEX(Rates!$D$6:$D$15,MATCH(H58&amp;"|"&amp;I58,Rates!$C$6:$C$15,0)),0)</f>
        <v>120</v>
      </c>
      <c r="K58" s="18">
        <v>20</v>
      </c>
      <c r="L58" s="17">
        <f t="shared" si="1"/>
        <v>2400</v>
      </c>
      <c r="M58" s="15" t="s">
        <v>291</v>
      </c>
    </row>
    <row r="59" spans="1:13" ht="25.5">
      <c r="A59" s="7">
        <v>55</v>
      </c>
      <c r="B59" s="7"/>
      <c r="C59" s="7" t="s">
        <v>68</v>
      </c>
      <c r="D59" s="8" t="s">
        <v>292</v>
      </c>
      <c r="E59" s="7">
        <v>12</v>
      </c>
      <c r="F59" s="7" t="str">
        <f>IFERROR(INDEX(Categories!$B$5:$B$27,MATCH(E59,Categories!$A$5:$A$27,0)),"")</f>
        <v>E-Commerce</v>
      </c>
      <c r="G59" s="7" t="s">
        <v>293</v>
      </c>
      <c r="H59" s="7" t="s">
        <v>97</v>
      </c>
      <c r="I59" s="7" t="s">
        <v>99</v>
      </c>
      <c r="J59" s="13">
        <f>IFERROR(INDEX(Rates!$D$6:$D$15,MATCH(H59&amp;"|"&amp;I59,Rates!$C$6:$C$15,0)),0)</f>
        <v>120</v>
      </c>
      <c r="K59" s="14">
        <v>7</v>
      </c>
      <c r="L59" s="13">
        <f t="shared" si="1"/>
        <v>840</v>
      </c>
      <c r="M59" s="7" t="s">
        <v>764</v>
      </c>
    </row>
    <row r="60" spans="1:13">
      <c r="A60" s="15">
        <v>56</v>
      </c>
      <c r="B60" s="15"/>
      <c r="C60" s="15" t="s">
        <v>68</v>
      </c>
      <c r="D60" s="16" t="s">
        <v>295</v>
      </c>
      <c r="E60" s="15">
        <v>12</v>
      </c>
      <c r="F60" s="15" t="str">
        <f>IFERROR(INDEX(Categories!$B$5:$B$27,MATCH(E60,Categories!$A$5:$A$27,0)),"")</f>
        <v>E-Commerce</v>
      </c>
      <c r="G60" s="15" t="s">
        <v>296</v>
      </c>
      <c r="H60" s="15" t="s">
        <v>97</v>
      </c>
      <c r="I60" s="15" t="s">
        <v>98</v>
      </c>
      <c r="J60" s="17">
        <f>IFERROR(INDEX(Rates!$D$6:$D$15,MATCH(H60&amp;"|"&amp;I60,Rates!$C$6:$C$15,0)),0)</f>
        <v>100</v>
      </c>
      <c r="K60" s="18">
        <v>6</v>
      </c>
      <c r="L60" s="17">
        <f t="shared" si="1"/>
        <v>600</v>
      </c>
      <c r="M60" s="15"/>
    </row>
    <row r="61" spans="1:13" ht="25.5">
      <c r="A61" s="7">
        <v>57</v>
      </c>
      <c r="B61" s="7"/>
      <c r="C61" s="7" t="s">
        <v>68</v>
      </c>
      <c r="D61" s="8" t="s">
        <v>297</v>
      </c>
      <c r="E61" s="7">
        <v>12</v>
      </c>
      <c r="F61" s="7" t="str">
        <f>IFERROR(INDEX(Categories!$B$5:$B$27,MATCH(E61,Categories!$A$5:$A$27,0)),"")</f>
        <v>E-Commerce</v>
      </c>
      <c r="G61" s="7" t="s">
        <v>298</v>
      </c>
      <c r="H61" s="7" t="s">
        <v>100</v>
      </c>
      <c r="I61" s="7" t="s">
        <v>98</v>
      </c>
      <c r="J61" s="13">
        <f>IFERROR(INDEX(Rates!$D$6:$D$15,MATCH(H61&amp;"|"&amp;I61,Rates!$C$6:$C$15,0)),0)</f>
        <v>100</v>
      </c>
      <c r="K61" s="14">
        <v>5</v>
      </c>
      <c r="L61" s="13">
        <f t="shared" si="1"/>
        <v>500</v>
      </c>
      <c r="M61" s="7" t="s">
        <v>645</v>
      </c>
    </row>
    <row r="62" spans="1:13" ht="25.5">
      <c r="A62" s="15">
        <v>58</v>
      </c>
      <c r="B62" s="15"/>
      <c r="C62" s="15" t="s">
        <v>68</v>
      </c>
      <c r="D62" s="16" t="s">
        <v>300</v>
      </c>
      <c r="E62" s="15">
        <v>12</v>
      </c>
      <c r="F62" s="15" t="str">
        <f>IFERROR(INDEX(Categories!$B$5:$B$27,MATCH(E62,Categories!$A$5:$A$27,0)),"")</f>
        <v>E-Commerce</v>
      </c>
      <c r="G62" s="15" t="s">
        <v>301</v>
      </c>
      <c r="H62" s="15" t="s">
        <v>97</v>
      </c>
      <c r="I62" s="15" t="s">
        <v>99</v>
      </c>
      <c r="J62" s="17">
        <f>IFERROR(INDEX(Rates!$D$6:$D$15,MATCH(H62&amp;"|"&amp;I62,Rates!$C$6:$C$15,0)),0)</f>
        <v>120</v>
      </c>
      <c r="K62" s="18">
        <v>8</v>
      </c>
      <c r="L62" s="17">
        <f t="shared" si="1"/>
        <v>960</v>
      </c>
      <c r="M62" s="15" t="s">
        <v>302</v>
      </c>
    </row>
    <row r="63" spans="1:13">
      <c r="A63" s="7">
        <v>59</v>
      </c>
      <c r="B63" s="7"/>
      <c r="C63" s="7" t="s">
        <v>68</v>
      </c>
      <c r="D63" s="8" t="s">
        <v>303</v>
      </c>
      <c r="E63" s="7">
        <v>12</v>
      </c>
      <c r="F63" s="7" t="str">
        <f>IFERROR(INDEX(Categories!$B$5:$B$27,MATCH(E63,Categories!$A$5:$A$27,0)),"")</f>
        <v>E-Commerce</v>
      </c>
      <c r="G63" s="7" t="s">
        <v>304</v>
      </c>
      <c r="H63" s="7" t="s">
        <v>97</v>
      </c>
      <c r="I63" s="7" t="s">
        <v>98</v>
      </c>
      <c r="J63" s="13">
        <f>IFERROR(INDEX(Rates!$D$6:$D$15,MATCH(H63&amp;"|"&amp;I63,Rates!$C$6:$C$15,0)),0)</f>
        <v>100</v>
      </c>
      <c r="K63" s="14">
        <v>6</v>
      </c>
      <c r="L63" s="13">
        <f t="shared" si="1"/>
        <v>600</v>
      </c>
      <c r="M63" s="7"/>
    </row>
    <row r="64" spans="1:13">
      <c r="A64" s="15">
        <v>60</v>
      </c>
      <c r="B64" s="15"/>
      <c r="C64" s="15" t="s">
        <v>68</v>
      </c>
      <c r="D64" s="16" t="s">
        <v>305</v>
      </c>
      <c r="E64" s="15">
        <v>12</v>
      </c>
      <c r="F64" s="15" t="str">
        <f>IFERROR(INDEX(Categories!$B$5:$B$27,MATCH(E64,Categories!$A$5:$A$27,0)),"")</f>
        <v>E-Commerce</v>
      </c>
      <c r="G64" s="15" t="s">
        <v>306</v>
      </c>
      <c r="H64" s="15" t="s">
        <v>97</v>
      </c>
      <c r="I64" s="15" t="s">
        <v>99</v>
      </c>
      <c r="J64" s="17">
        <f>IFERROR(INDEX(Rates!$D$6:$D$15,MATCH(H64&amp;"|"&amp;I64,Rates!$C$6:$C$15,0)),0)</f>
        <v>120</v>
      </c>
      <c r="K64" s="18">
        <v>6</v>
      </c>
      <c r="L64" s="17">
        <f t="shared" si="1"/>
        <v>720</v>
      </c>
      <c r="M64" s="15" t="s">
        <v>650</v>
      </c>
    </row>
    <row r="65" spans="1:13" ht="25.5">
      <c r="A65" s="7">
        <v>61</v>
      </c>
      <c r="B65" s="7"/>
      <c r="C65" s="7" t="s">
        <v>68</v>
      </c>
      <c r="D65" s="8" t="s">
        <v>308</v>
      </c>
      <c r="E65" s="7">
        <v>12</v>
      </c>
      <c r="F65" s="7" t="str">
        <f>IFERROR(INDEX(Categories!$B$5:$B$27,MATCH(E65,Categories!$A$5:$A$27,0)),"")</f>
        <v>E-Commerce</v>
      </c>
      <c r="G65" s="7" t="s">
        <v>309</v>
      </c>
      <c r="H65" s="7" t="s">
        <v>97</v>
      </c>
      <c r="I65" s="7" t="s">
        <v>99</v>
      </c>
      <c r="J65" s="13">
        <f>IFERROR(INDEX(Rates!$D$6:$D$15,MATCH(H65&amp;"|"&amp;I65,Rates!$C$6:$C$15,0)),0)</f>
        <v>120</v>
      </c>
      <c r="K65" s="14">
        <v>6</v>
      </c>
      <c r="L65" s="13">
        <f t="shared" si="1"/>
        <v>720</v>
      </c>
      <c r="M65" s="7" t="s">
        <v>310</v>
      </c>
    </row>
    <row r="66" spans="1:13">
      <c r="A66" s="15">
        <v>62</v>
      </c>
      <c r="B66" s="15"/>
      <c r="C66" s="15" t="s">
        <v>68</v>
      </c>
      <c r="D66" s="16" t="s">
        <v>311</v>
      </c>
      <c r="E66" s="15">
        <v>12</v>
      </c>
      <c r="F66" s="15" t="str">
        <f>IFERROR(INDEX(Categories!$B$5:$B$27,MATCH(E66,Categories!$A$5:$A$27,0)),"")</f>
        <v>E-Commerce</v>
      </c>
      <c r="G66" s="15" t="s">
        <v>312</v>
      </c>
      <c r="H66" s="15" t="s">
        <v>97</v>
      </c>
      <c r="I66" s="15" t="s">
        <v>99</v>
      </c>
      <c r="J66" s="17">
        <f>IFERROR(INDEX(Rates!$D$6:$D$15,MATCH(H66&amp;"|"&amp;I66,Rates!$C$6:$C$15,0)),0)</f>
        <v>120</v>
      </c>
      <c r="K66" s="18">
        <v>5</v>
      </c>
      <c r="L66" s="17">
        <f t="shared" si="1"/>
        <v>600</v>
      </c>
      <c r="M66" s="15" t="s">
        <v>629</v>
      </c>
    </row>
    <row r="67" spans="1:13" ht="25.5">
      <c r="A67" s="7">
        <v>63</v>
      </c>
      <c r="B67" s="7"/>
      <c r="C67" s="7" t="s">
        <v>68</v>
      </c>
      <c r="D67" s="8" t="s">
        <v>314</v>
      </c>
      <c r="E67" s="7">
        <v>12</v>
      </c>
      <c r="F67" s="7" t="str">
        <f>IFERROR(INDEX(Categories!$B$5:$B$27,MATCH(E67,Categories!$A$5:$A$27,0)),"")</f>
        <v>E-Commerce</v>
      </c>
      <c r="G67" s="7" t="s">
        <v>315</v>
      </c>
      <c r="H67" s="7" t="s">
        <v>97</v>
      </c>
      <c r="I67" s="7" t="s">
        <v>99</v>
      </c>
      <c r="J67" s="13">
        <f>IFERROR(INDEX(Rates!$D$6:$D$15,MATCH(H67&amp;"|"&amp;I67,Rates!$C$6:$C$15,0)),0)</f>
        <v>120</v>
      </c>
      <c r="K67" s="14">
        <v>8</v>
      </c>
      <c r="L67" s="13">
        <f t="shared" si="1"/>
        <v>960</v>
      </c>
      <c r="M67" s="7" t="s">
        <v>1123</v>
      </c>
    </row>
    <row r="68" spans="1:13">
      <c r="A68" s="15">
        <v>64</v>
      </c>
      <c r="B68" s="15"/>
      <c r="C68" s="15" t="s">
        <v>68</v>
      </c>
      <c r="D68" s="16" t="s">
        <v>317</v>
      </c>
      <c r="E68" s="15">
        <v>12</v>
      </c>
      <c r="F68" s="15" t="str">
        <f>IFERROR(INDEX(Categories!$B$5:$B$27,MATCH(E68,Categories!$A$5:$A$27,0)),"")</f>
        <v>E-Commerce</v>
      </c>
      <c r="G68" s="15" t="s">
        <v>318</v>
      </c>
      <c r="H68" s="15" t="s">
        <v>97</v>
      </c>
      <c r="I68" s="15" t="s">
        <v>99</v>
      </c>
      <c r="J68" s="17">
        <f>IFERROR(INDEX(Rates!$D$6:$D$15,MATCH(H68&amp;"|"&amp;I68,Rates!$C$6:$C$15,0)),0)</f>
        <v>120</v>
      </c>
      <c r="K68" s="18">
        <v>6</v>
      </c>
      <c r="L68" s="17">
        <f t="shared" si="1"/>
        <v>720</v>
      </c>
      <c r="M68" s="15" t="s">
        <v>637</v>
      </c>
    </row>
    <row r="69" spans="1:13">
      <c r="A69" s="7">
        <v>65</v>
      </c>
      <c r="B69" s="7"/>
      <c r="C69" s="7" t="s">
        <v>68</v>
      </c>
      <c r="D69" s="8" t="s">
        <v>320</v>
      </c>
      <c r="E69" s="7">
        <v>12</v>
      </c>
      <c r="F69" s="7" t="str">
        <f>IFERROR(INDEX(Categories!$B$5:$B$27,MATCH(E69,Categories!$A$5:$A$27,0)),"")</f>
        <v>E-Commerce</v>
      </c>
      <c r="G69" s="7" t="s">
        <v>321</v>
      </c>
      <c r="H69" s="7" t="s">
        <v>97</v>
      </c>
      <c r="I69" s="7" t="s">
        <v>99</v>
      </c>
      <c r="J69" s="13">
        <f>IFERROR(INDEX(Rates!$D$6:$D$15,MATCH(H69&amp;"|"&amp;I69,Rates!$C$6:$C$15,0)),0)</f>
        <v>120</v>
      </c>
      <c r="K69" s="14">
        <v>5</v>
      </c>
      <c r="L69" s="13">
        <f t="shared" ref="L69:L100" si="2">K69*J69</f>
        <v>600</v>
      </c>
      <c r="M69" s="7" t="s">
        <v>634</v>
      </c>
    </row>
    <row r="70" spans="1:13">
      <c r="A70" s="15">
        <v>66</v>
      </c>
      <c r="B70" s="15"/>
      <c r="C70" s="15" t="s">
        <v>68</v>
      </c>
      <c r="D70" s="16" t="s">
        <v>323</v>
      </c>
      <c r="E70" s="15">
        <v>12</v>
      </c>
      <c r="F70" s="15" t="str">
        <f>IFERROR(INDEX(Categories!$B$5:$B$27,MATCH(E70,Categories!$A$5:$A$27,0)),"")</f>
        <v>E-Commerce</v>
      </c>
      <c r="G70" s="15" t="s">
        <v>324</v>
      </c>
      <c r="H70" s="15" t="s">
        <v>97</v>
      </c>
      <c r="I70" s="15" t="s">
        <v>99</v>
      </c>
      <c r="J70" s="17">
        <f>IFERROR(INDEX(Rates!$D$6:$D$15,MATCH(H70&amp;"|"&amp;I70,Rates!$C$6:$C$15,0)),0)</f>
        <v>120</v>
      </c>
      <c r="K70" s="18">
        <v>4</v>
      </c>
      <c r="L70" s="17">
        <f t="shared" si="2"/>
        <v>480</v>
      </c>
      <c r="M70" s="15" t="s">
        <v>640</v>
      </c>
    </row>
    <row r="71" spans="1:13" ht="25.5">
      <c r="A71" s="7">
        <v>67</v>
      </c>
      <c r="B71" s="7"/>
      <c r="C71" s="7" t="s">
        <v>68</v>
      </c>
      <c r="D71" s="8" t="s">
        <v>1124</v>
      </c>
      <c r="E71" s="7">
        <v>12</v>
      </c>
      <c r="F71" s="7" t="str">
        <f>IFERROR(INDEX(Categories!$B$5:$B$27,MATCH(E71,Categories!$A$5:$A$27,0)),"")</f>
        <v>E-Commerce</v>
      </c>
      <c r="G71" s="7" t="s">
        <v>1125</v>
      </c>
      <c r="H71" s="7" t="s">
        <v>97</v>
      </c>
      <c r="I71" s="7" t="s">
        <v>98</v>
      </c>
      <c r="J71" s="13">
        <f>IFERROR(INDEX(Rates!$D$6:$D$15,MATCH(H71&amp;"|"&amp;I71,Rates!$C$6:$C$15,0)),0)</f>
        <v>100</v>
      </c>
      <c r="K71" s="14">
        <v>3</v>
      </c>
      <c r="L71" s="13">
        <f t="shared" si="2"/>
        <v>300</v>
      </c>
      <c r="M71" s="7" t="s">
        <v>773</v>
      </c>
    </row>
    <row r="72" spans="1:13">
      <c r="A72" s="15">
        <v>68</v>
      </c>
      <c r="B72" s="15"/>
      <c r="C72" s="15" t="s">
        <v>1126</v>
      </c>
      <c r="D72" s="16" t="s">
        <v>332</v>
      </c>
      <c r="E72" s="15">
        <v>14</v>
      </c>
      <c r="F72" s="15" t="str">
        <f>IFERROR(INDEX(Categories!$B$5:$B$27,MATCH(E72,Categories!$A$5:$A$27,0)),"")</f>
        <v>Frontend</v>
      </c>
      <c r="G72" s="15" t="s">
        <v>1127</v>
      </c>
      <c r="H72" s="15" t="s">
        <v>97</v>
      </c>
      <c r="I72" s="15" t="s">
        <v>98</v>
      </c>
      <c r="J72" s="17">
        <f>IFERROR(INDEX(Rates!$D$6:$D$15,MATCH(H72&amp;"|"&amp;I72,Rates!$C$6:$C$15,0)),0)</f>
        <v>100</v>
      </c>
      <c r="K72" s="18">
        <v>6</v>
      </c>
      <c r="L72" s="17">
        <f t="shared" si="2"/>
        <v>600</v>
      </c>
      <c r="M72" s="15"/>
    </row>
    <row r="73" spans="1:13" ht="25.5">
      <c r="A73" s="7">
        <v>69</v>
      </c>
      <c r="B73" s="7"/>
      <c r="C73" s="7" t="s">
        <v>1128</v>
      </c>
      <c r="D73" s="8" t="s">
        <v>335</v>
      </c>
      <c r="E73" s="7">
        <v>14</v>
      </c>
      <c r="F73" s="7" t="str">
        <f>IFERROR(INDEX(Categories!$B$5:$B$27,MATCH(E73,Categories!$A$5:$A$27,0)),"")</f>
        <v>Frontend</v>
      </c>
      <c r="G73" s="7" t="s">
        <v>1129</v>
      </c>
      <c r="H73" s="7" t="s">
        <v>97</v>
      </c>
      <c r="I73" s="7" t="s">
        <v>99</v>
      </c>
      <c r="J73" s="13">
        <f>IFERROR(INDEX(Rates!$D$6:$D$15,MATCH(H73&amp;"|"&amp;I73,Rates!$C$6:$C$15,0)),0)</f>
        <v>120</v>
      </c>
      <c r="K73" s="14">
        <v>8</v>
      </c>
      <c r="L73" s="13">
        <f t="shared" si="2"/>
        <v>960</v>
      </c>
      <c r="M73" s="7"/>
    </row>
    <row r="74" spans="1:13">
      <c r="A74" s="15">
        <v>70</v>
      </c>
      <c r="B74" s="15"/>
      <c r="C74" s="15" t="s">
        <v>1130</v>
      </c>
      <c r="D74" s="16" t="s">
        <v>338</v>
      </c>
      <c r="E74" s="15">
        <v>14</v>
      </c>
      <c r="F74" s="15" t="str">
        <f>IFERROR(INDEX(Categories!$B$5:$B$27,MATCH(E74,Categories!$A$5:$A$27,0)),"")</f>
        <v>Frontend</v>
      </c>
      <c r="G74" s="15" t="s">
        <v>1131</v>
      </c>
      <c r="H74" s="15" t="s">
        <v>97</v>
      </c>
      <c r="I74" s="15" t="s">
        <v>99</v>
      </c>
      <c r="J74" s="17">
        <f>IFERROR(INDEX(Rates!$D$6:$D$15,MATCH(H74&amp;"|"&amp;I74,Rates!$C$6:$C$15,0)),0)</f>
        <v>120</v>
      </c>
      <c r="K74" s="18">
        <v>6</v>
      </c>
      <c r="L74" s="17">
        <f t="shared" si="2"/>
        <v>720</v>
      </c>
      <c r="M74" s="15" t="s">
        <v>1132</v>
      </c>
    </row>
    <row r="75" spans="1:13">
      <c r="A75" s="7">
        <v>71</v>
      </c>
      <c r="B75" s="7"/>
      <c r="C75" s="7" t="s">
        <v>1130</v>
      </c>
      <c r="D75" s="8" t="s">
        <v>341</v>
      </c>
      <c r="E75" s="7">
        <v>14</v>
      </c>
      <c r="F75" s="7" t="str">
        <f>IFERROR(INDEX(Categories!$B$5:$B$27,MATCH(E75,Categories!$A$5:$A$27,0)),"")</f>
        <v>Frontend</v>
      </c>
      <c r="G75" s="7" t="s">
        <v>1133</v>
      </c>
      <c r="H75" s="7" t="s">
        <v>97</v>
      </c>
      <c r="I75" s="7" t="s">
        <v>98</v>
      </c>
      <c r="J75" s="13">
        <f>IFERROR(INDEX(Rates!$D$6:$D$15,MATCH(H75&amp;"|"&amp;I75,Rates!$C$6:$C$15,0)),0)</f>
        <v>100</v>
      </c>
      <c r="K75" s="14">
        <v>4</v>
      </c>
      <c r="L75" s="13">
        <f t="shared" si="2"/>
        <v>400</v>
      </c>
      <c r="M75" s="7" t="s">
        <v>343</v>
      </c>
    </row>
    <row r="76" spans="1:13">
      <c r="A76" s="15">
        <v>72</v>
      </c>
      <c r="B76" s="15"/>
      <c r="C76" s="15" t="s">
        <v>1134</v>
      </c>
      <c r="D76" s="16" t="s">
        <v>344</v>
      </c>
      <c r="E76" s="15">
        <v>14</v>
      </c>
      <c r="F76" s="15" t="str">
        <f>IFERROR(INDEX(Categories!$B$5:$B$27,MATCH(E76,Categories!$A$5:$A$27,0)),"")</f>
        <v>Frontend</v>
      </c>
      <c r="G76" s="15" t="s">
        <v>1135</v>
      </c>
      <c r="H76" s="15" t="s">
        <v>97</v>
      </c>
      <c r="I76" s="15" t="s">
        <v>99</v>
      </c>
      <c r="J76" s="17">
        <f>IFERROR(INDEX(Rates!$D$6:$D$15,MATCH(H76&amp;"|"&amp;I76,Rates!$C$6:$C$15,0)),0)</f>
        <v>120</v>
      </c>
      <c r="K76" s="18">
        <v>8</v>
      </c>
      <c r="L76" s="17">
        <f t="shared" si="2"/>
        <v>960</v>
      </c>
      <c r="M76" s="15"/>
    </row>
    <row r="77" spans="1:13">
      <c r="A77" s="7">
        <v>73</v>
      </c>
      <c r="B77" s="7"/>
      <c r="C77" s="7" t="s">
        <v>1136</v>
      </c>
      <c r="D77" s="8" t="s">
        <v>347</v>
      </c>
      <c r="E77" s="7">
        <v>14</v>
      </c>
      <c r="F77" s="7" t="str">
        <f>IFERROR(INDEX(Categories!$B$5:$B$27,MATCH(E77,Categories!$A$5:$A$27,0)),"")</f>
        <v>Frontend</v>
      </c>
      <c r="G77" s="7" t="s">
        <v>1137</v>
      </c>
      <c r="H77" s="7" t="s">
        <v>97</v>
      </c>
      <c r="I77" s="7" t="s">
        <v>98</v>
      </c>
      <c r="J77" s="13">
        <f>IFERROR(INDEX(Rates!$D$6:$D$15,MATCH(H77&amp;"|"&amp;I77,Rates!$C$6:$C$15,0)),0)</f>
        <v>100</v>
      </c>
      <c r="K77" s="14">
        <v>6</v>
      </c>
      <c r="L77" s="13">
        <f t="shared" si="2"/>
        <v>600</v>
      </c>
      <c r="M77" s="7"/>
    </row>
    <row r="78" spans="1:13">
      <c r="A78" s="15">
        <v>74</v>
      </c>
      <c r="B78" s="15"/>
      <c r="C78" s="15" t="s">
        <v>68</v>
      </c>
      <c r="D78" s="16" t="s">
        <v>350</v>
      </c>
      <c r="E78" s="15">
        <v>12</v>
      </c>
      <c r="F78" s="15" t="str">
        <f>IFERROR(INDEX(Categories!$B$5:$B$27,MATCH(E78,Categories!$A$5:$A$27,0)),"")</f>
        <v>E-Commerce</v>
      </c>
      <c r="G78" s="15" t="s">
        <v>1138</v>
      </c>
      <c r="H78" s="15" t="s">
        <v>97</v>
      </c>
      <c r="I78" s="15" t="s">
        <v>98</v>
      </c>
      <c r="J78" s="17">
        <f>IFERROR(INDEX(Rates!$D$6:$D$15,MATCH(H78&amp;"|"&amp;I78,Rates!$C$6:$C$15,0)),0)</f>
        <v>100</v>
      </c>
      <c r="K78" s="18">
        <v>4</v>
      </c>
      <c r="L78" s="17">
        <f t="shared" si="2"/>
        <v>400</v>
      </c>
      <c r="M78" s="15"/>
    </row>
    <row r="79" spans="1:13">
      <c r="A79" s="7">
        <v>75</v>
      </c>
      <c r="B79" s="7"/>
      <c r="C79" s="7" t="s">
        <v>68</v>
      </c>
      <c r="D79" s="8" t="s">
        <v>352</v>
      </c>
      <c r="E79" s="7">
        <v>12</v>
      </c>
      <c r="F79" s="7" t="str">
        <f>IFERROR(INDEX(Categories!$B$5:$B$27,MATCH(E79,Categories!$A$5:$A$27,0)),"")</f>
        <v>E-Commerce</v>
      </c>
      <c r="G79" s="7" t="s">
        <v>1139</v>
      </c>
      <c r="H79" s="7" t="s">
        <v>97</v>
      </c>
      <c r="I79" s="7" t="s">
        <v>99</v>
      </c>
      <c r="J79" s="13">
        <f>IFERROR(INDEX(Rates!$D$6:$D$15,MATCH(H79&amp;"|"&amp;I79,Rates!$C$6:$C$15,0)),0)</f>
        <v>120</v>
      </c>
      <c r="K79" s="14">
        <v>6</v>
      </c>
      <c r="L79" s="13">
        <f t="shared" si="2"/>
        <v>720</v>
      </c>
      <c r="M79" s="7"/>
    </row>
    <row r="80" spans="1:13">
      <c r="A80" s="15">
        <v>76</v>
      </c>
      <c r="B80" s="15"/>
      <c r="C80" s="15" t="s">
        <v>1140</v>
      </c>
      <c r="D80" s="16" t="s">
        <v>356</v>
      </c>
      <c r="E80" s="15">
        <v>5</v>
      </c>
      <c r="F80" s="15" t="str">
        <f>IFERROR(INDEX(Categories!$B$5:$B$27,MATCH(E80,Categories!$A$5:$A$27,0)),"")</f>
        <v>Custom Tools</v>
      </c>
      <c r="G80" s="15" t="s">
        <v>1141</v>
      </c>
      <c r="H80" s="15" t="s">
        <v>97</v>
      </c>
      <c r="I80" s="15" t="s">
        <v>99</v>
      </c>
      <c r="J80" s="17">
        <f>IFERROR(INDEX(Rates!$D$6:$D$15,MATCH(H80&amp;"|"&amp;I80,Rates!$C$6:$C$15,0)),0)</f>
        <v>120</v>
      </c>
      <c r="K80" s="18">
        <v>15</v>
      </c>
      <c r="L80" s="17">
        <f t="shared" si="2"/>
        <v>1800</v>
      </c>
      <c r="M80" s="15"/>
    </row>
    <row r="81" spans="1:13">
      <c r="A81" s="7">
        <v>77</v>
      </c>
      <c r="B81" s="7"/>
      <c r="C81" s="7" t="s">
        <v>1140</v>
      </c>
      <c r="D81" s="8" t="s">
        <v>359</v>
      </c>
      <c r="E81" s="7">
        <v>5</v>
      </c>
      <c r="F81" s="7" t="str">
        <f>IFERROR(INDEX(Categories!$B$5:$B$27,MATCH(E81,Categories!$A$5:$A$27,0)),"")</f>
        <v>Custom Tools</v>
      </c>
      <c r="G81" s="7" t="s">
        <v>1142</v>
      </c>
      <c r="H81" s="7" t="s">
        <v>97</v>
      </c>
      <c r="I81" s="7" t="s">
        <v>99</v>
      </c>
      <c r="J81" s="13">
        <f>IFERROR(INDEX(Rates!$D$6:$D$15,MATCH(H81&amp;"|"&amp;I81,Rates!$C$6:$C$15,0)),0)</f>
        <v>120</v>
      </c>
      <c r="K81" s="14">
        <v>20</v>
      </c>
      <c r="L81" s="13">
        <f t="shared" si="2"/>
        <v>2400</v>
      </c>
      <c r="M81" s="7"/>
    </row>
    <row r="82" spans="1:13" ht="25.5">
      <c r="A82" s="15">
        <v>78</v>
      </c>
      <c r="B82" s="15"/>
      <c r="C82" s="15" t="s">
        <v>1140</v>
      </c>
      <c r="D82" s="16" t="s">
        <v>362</v>
      </c>
      <c r="E82" s="15">
        <v>5</v>
      </c>
      <c r="F82" s="15" t="str">
        <f>IFERROR(INDEX(Categories!$B$5:$B$27,MATCH(E82,Categories!$A$5:$A$27,0)),"")</f>
        <v>Custom Tools</v>
      </c>
      <c r="G82" s="15" t="s">
        <v>1143</v>
      </c>
      <c r="H82" s="15" t="s">
        <v>97</v>
      </c>
      <c r="I82" s="15" t="s">
        <v>99</v>
      </c>
      <c r="J82" s="17">
        <f>IFERROR(INDEX(Rates!$D$6:$D$15,MATCH(H82&amp;"|"&amp;I82,Rates!$C$6:$C$15,0)),0)</f>
        <v>120</v>
      </c>
      <c r="K82" s="18">
        <v>30</v>
      </c>
      <c r="L82" s="17">
        <f t="shared" si="2"/>
        <v>3600</v>
      </c>
      <c r="M82" s="15" t="s">
        <v>364</v>
      </c>
    </row>
    <row r="83" spans="1:13" ht="25.5">
      <c r="A83" s="7">
        <v>79</v>
      </c>
      <c r="B83" s="7"/>
      <c r="C83" s="7" t="s">
        <v>1144</v>
      </c>
      <c r="D83" s="8" t="s">
        <v>366</v>
      </c>
      <c r="E83" s="7">
        <v>5</v>
      </c>
      <c r="F83" s="7" t="str">
        <f>IFERROR(INDEX(Categories!$B$5:$B$27,MATCH(E83,Categories!$A$5:$A$27,0)),"")</f>
        <v>Custom Tools</v>
      </c>
      <c r="G83" s="7" t="s">
        <v>990</v>
      </c>
      <c r="H83" s="7" t="s">
        <v>97</v>
      </c>
      <c r="I83" s="7" t="s">
        <v>99</v>
      </c>
      <c r="J83" s="13">
        <f>IFERROR(INDEX(Rates!$D$6:$D$15,MATCH(H83&amp;"|"&amp;I83,Rates!$C$6:$C$15,0)),0)</f>
        <v>120</v>
      </c>
      <c r="K83" s="14">
        <v>30</v>
      </c>
      <c r="L83" s="13">
        <f t="shared" si="2"/>
        <v>3600</v>
      </c>
      <c r="M83" s="7" t="s">
        <v>368</v>
      </c>
    </row>
    <row r="84" spans="1:13">
      <c r="A84" s="15">
        <v>80</v>
      </c>
      <c r="B84" s="15"/>
      <c r="C84" s="15" t="s">
        <v>1144</v>
      </c>
      <c r="D84" s="16" t="s">
        <v>369</v>
      </c>
      <c r="E84" s="15">
        <v>5</v>
      </c>
      <c r="F84" s="15" t="str">
        <f>IFERROR(INDEX(Categories!$B$5:$B$27,MATCH(E84,Categories!$A$5:$A$27,0)),"")</f>
        <v>Custom Tools</v>
      </c>
      <c r="G84" s="15" t="s">
        <v>991</v>
      </c>
      <c r="H84" s="15" t="s">
        <v>97</v>
      </c>
      <c r="I84" s="15" t="s">
        <v>99</v>
      </c>
      <c r="J84" s="17">
        <f>IFERROR(INDEX(Rates!$D$6:$D$15,MATCH(H84&amp;"|"&amp;I84,Rates!$C$6:$C$15,0)),0)</f>
        <v>120</v>
      </c>
      <c r="K84" s="18">
        <v>30</v>
      </c>
      <c r="L84" s="17">
        <f t="shared" si="2"/>
        <v>3600</v>
      </c>
      <c r="M84" s="15" t="s">
        <v>371</v>
      </c>
    </row>
    <row r="85" spans="1:13">
      <c r="A85" s="7">
        <v>81</v>
      </c>
      <c r="B85" s="7"/>
      <c r="C85" s="7" t="s">
        <v>1144</v>
      </c>
      <c r="D85" s="8" t="s">
        <v>372</v>
      </c>
      <c r="E85" s="7">
        <v>5</v>
      </c>
      <c r="F85" s="7" t="str">
        <f>IFERROR(INDEX(Categories!$B$5:$B$27,MATCH(E85,Categories!$A$5:$A$27,0)),"")</f>
        <v>Custom Tools</v>
      </c>
      <c r="G85" s="7" t="s">
        <v>1145</v>
      </c>
      <c r="H85" s="7" t="s">
        <v>97</v>
      </c>
      <c r="I85" s="7" t="s">
        <v>99</v>
      </c>
      <c r="J85" s="13">
        <f>IFERROR(INDEX(Rates!$D$6:$D$15,MATCH(H85&amp;"|"&amp;I85,Rates!$C$6:$C$15,0)),0)</f>
        <v>120</v>
      </c>
      <c r="K85" s="14">
        <v>40</v>
      </c>
      <c r="L85" s="13">
        <f t="shared" si="2"/>
        <v>4800</v>
      </c>
      <c r="M85" s="7" t="s">
        <v>993</v>
      </c>
    </row>
    <row r="86" spans="1:13">
      <c r="A86" s="15">
        <v>82</v>
      </c>
      <c r="B86" s="15"/>
      <c r="C86" s="15" t="s">
        <v>994</v>
      </c>
      <c r="D86" s="16" t="s">
        <v>376</v>
      </c>
      <c r="E86" s="15">
        <v>5</v>
      </c>
      <c r="F86" s="15" t="str">
        <f>IFERROR(INDEX(Categories!$B$5:$B$27,MATCH(E86,Categories!$A$5:$A$27,0)),"")</f>
        <v>Custom Tools</v>
      </c>
      <c r="G86" s="15" t="s">
        <v>1146</v>
      </c>
      <c r="H86" s="15" t="s">
        <v>97</v>
      </c>
      <c r="I86" s="15" t="s">
        <v>99</v>
      </c>
      <c r="J86" s="17">
        <f>IFERROR(INDEX(Rates!$D$6:$D$15,MATCH(H86&amp;"|"&amp;I86,Rates!$C$6:$C$15,0)),0)</f>
        <v>120</v>
      </c>
      <c r="K86" s="18">
        <v>40</v>
      </c>
      <c r="L86" s="17">
        <f t="shared" si="2"/>
        <v>4800</v>
      </c>
      <c r="M86" s="15" t="s">
        <v>378</v>
      </c>
    </row>
    <row r="87" spans="1:13" ht="25.5">
      <c r="A87" s="7">
        <v>83</v>
      </c>
      <c r="B87" s="7"/>
      <c r="C87" s="7" t="s">
        <v>994</v>
      </c>
      <c r="D87" s="8" t="s">
        <v>379</v>
      </c>
      <c r="E87" s="7">
        <v>5</v>
      </c>
      <c r="F87" s="7" t="str">
        <f>IFERROR(INDEX(Categories!$B$5:$B$27,MATCH(E87,Categories!$A$5:$A$27,0)),"")</f>
        <v>Custom Tools</v>
      </c>
      <c r="G87" s="7" t="s">
        <v>1147</v>
      </c>
      <c r="H87" s="7" t="s">
        <v>97</v>
      </c>
      <c r="I87" s="7" t="s">
        <v>99</v>
      </c>
      <c r="J87" s="13">
        <f>IFERROR(INDEX(Rates!$D$6:$D$15,MATCH(H87&amp;"|"&amp;I87,Rates!$C$6:$C$15,0)),0)</f>
        <v>120</v>
      </c>
      <c r="K87" s="14">
        <v>50</v>
      </c>
      <c r="L87" s="13">
        <f t="shared" si="2"/>
        <v>6000</v>
      </c>
      <c r="M87" s="7" t="s">
        <v>1148</v>
      </c>
    </row>
    <row r="88" spans="1:13" ht="25.5">
      <c r="A88" s="15">
        <v>84</v>
      </c>
      <c r="B88" s="15"/>
      <c r="C88" s="15" t="s">
        <v>994</v>
      </c>
      <c r="D88" s="16" t="s">
        <v>382</v>
      </c>
      <c r="E88" s="15">
        <v>5</v>
      </c>
      <c r="F88" s="15" t="str">
        <f>IFERROR(INDEX(Categories!$B$5:$B$27,MATCH(E88,Categories!$A$5:$A$27,0)),"")</f>
        <v>Custom Tools</v>
      </c>
      <c r="G88" s="15" t="s">
        <v>1149</v>
      </c>
      <c r="H88" s="15" t="s">
        <v>97</v>
      </c>
      <c r="I88" s="15" t="s">
        <v>99</v>
      </c>
      <c r="J88" s="17">
        <f>IFERROR(INDEX(Rates!$D$6:$D$15,MATCH(H88&amp;"|"&amp;I88,Rates!$C$6:$C$15,0)),0)</f>
        <v>120</v>
      </c>
      <c r="K88" s="18">
        <v>55</v>
      </c>
      <c r="L88" s="17">
        <f t="shared" si="2"/>
        <v>6600</v>
      </c>
      <c r="M88" s="15" t="s">
        <v>997</v>
      </c>
    </row>
    <row r="89" spans="1:13">
      <c r="A89" s="7">
        <v>85</v>
      </c>
      <c r="B89" s="7"/>
      <c r="C89" s="7" t="s">
        <v>385</v>
      </c>
      <c r="D89" s="8" t="s">
        <v>1150</v>
      </c>
      <c r="E89" s="7">
        <v>5</v>
      </c>
      <c r="F89" s="7" t="str">
        <f>IFERROR(INDEX(Categories!$B$5:$B$27,MATCH(E89,Categories!$A$5:$A$27,0)),"")</f>
        <v>Custom Tools</v>
      </c>
      <c r="G89" s="7" t="s">
        <v>1151</v>
      </c>
      <c r="H89" s="7" t="s">
        <v>97</v>
      </c>
      <c r="I89" s="7" t="s">
        <v>99</v>
      </c>
      <c r="J89" s="13">
        <f>IFERROR(INDEX(Rates!$D$6:$D$15,MATCH(H89&amp;"|"&amp;I89,Rates!$C$6:$C$15,0)),0)</f>
        <v>120</v>
      </c>
      <c r="K89" s="14">
        <v>80</v>
      </c>
      <c r="L89" s="13">
        <f t="shared" si="2"/>
        <v>9600</v>
      </c>
      <c r="M89" s="7" t="s">
        <v>388</v>
      </c>
    </row>
    <row r="90" spans="1:13" ht="25.5">
      <c r="A90" s="15">
        <v>86</v>
      </c>
      <c r="B90" s="15"/>
      <c r="C90" s="15" t="s">
        <v>385</v>
      </c>
      <c r="D90" s="16" t="s">
        <v>389</v>
      </c>
      <c r="E90" s="15">
        <v>5</v>
      </c>
      <c r="F90" s="15" t="str">
        <f>IFERROR(INDEX(Categories!$B$5:$B$27,MATCH(E90,Categories!$A$5:$A$27,0)),"")</f>
        <v>Custom Tools</v>
      </c>
      <c r="G90" s="15" t="s">
        <v>1152</v>
      </c>
      <c r="H90" s="15" t="s">
        <v>97</v>
      </c>
      <c r="I90" s="15" t="s">
        <v>99</v>
      </c>
      <c r="J90" s="17">
        <f>IFERROR(INDEX(Rates!$D$6:$D$15,MATCH(H90&amp;"|"&amp;I90,Rates!$C$6:$C$15,0)),0)</f>
        <v>120</v>
      </c>
      <c r="K90" s="18">
        <v>80</v>
      </c>
      <c r="L90" s="17">
        <f t="shared" si="2"/>
        <v>9600</v>
      </c>
      <c r="M90" s="15" t="s">
        <v>391</v>
      </c>
    </row>
    <row r="91" spans="1:13" ht="25.5">
      <c r="A91" s="7">
        <v>87</v>
      </c>
      <c r="B91" s="7"/>
      <c r="C91" s="7" t="s">
        <v>385</v>
      </c>
      <c r="D91" s="8" t="s">
        <v>392</v>
      </c>
      <c r="E91" s="7">
        <v>5</v>
      </c>
      <c r="F91" s="7" t="str">
        <f>IFERROR(INDEX(Categories!$B$5:$B$27,MATCH(E91,Categories!$A$5:$A$27,0)),"")</f>
        <v>Custom Tools</v>
      </c>
      <c r="G91" s="7" t="s">
        <v>998</v>
      </c>
      <c r="H91" s="7" t="s">
        <v>97</v>
      </c>
      <c r="I91" s="7" t="s">
        <v>99</v>
      </c>
      <c r="J91" s="13">
        <f>IFERROR(INDEX(Rates!$D$6:$D$15,MATCH(H91&amp;"|"&amp;I91,Rates!$C$6:$C$15,0)),0)</f>
        <v>120</v>
      </c>
      <c r="K91" s="14">
        <v>80</v>
      </c>
      <c r="L91" s="13">
        <f t="shared" si="2"/>
        <v>9600</v>
      </c>
      <c r="M91" s="7" t="s">
        <v>394</v>
      </c>
    </row>
    <row r="92" spans="1:13">
      <c r="A92" s="15">
        <v>88</v>
      </c>
      <c r="B92" s="15"/>
      <c r="C92" s="15" t="s">
        <v>385</v>
      </c>
      <c r="D92" s="16" t="s">
        <v>999</v>
      </c>
      <c r="E92" s="15">
        <v>5</v>
      </c>
      <c r="F92" s="15" t="str">
        <f>IFERROR(INDEX(Categories!$B$5:$B$27,MATCH(E92,Categories!$A$5:$A$27,0)),"")</f>
        <v>Custom Tools</v>
      </c>
      <c r="G92" s="15" t="s">
        <v>1153</v>
      </c>
      <c r="H92" s="15" t="s">
        <v>97</v>
      </c>
      <c r="I92" s="15" t="s">
        <v>99</v>
      </c>
      <c r="J92" s="17">
        <f>IFERROR(INDEX(Rates!$D$6:$D$15,MATCH(H92&amp;"|"&amp;I92,Rates!$C$6:$C$15,0)),0)</f>
        <v>120</v>
      </c>
      <c r="K92" s="18">
        <v>80</v>
      </c>
      <c r="L92" s="17">
        <f t="shared" si="2"/>
        <v>9600</v>
      </c>
      <c r="M92" s="15" t="s">
        <v>1001</v>
      </c>
    </row>
    <row r="93" spans="1:13" ht="25.5">
      <c r="A93" s="7">
        <v>89</v>
      </c>
      <c r="B93" s="7"/>
      <c r="C93" s="7" t="s">
        <v>398</v>
      </c>
      <c r="D93" s="8" t="s">
        <v>1002</v>
      </c>
      <c r="E93" s="7">
        <v>5</v>
      </c>
      <c r="F93" s="7" t="str">
        <f>IFERROR(INDEX(Categories!$B$5:$B$27,MATCH(E93,Categories!$A$5:$A$27,0)),"")</f>
        <v>Custom Tools</v>
      </c>
      <c r="G93" s="7" t="s">
        <v>1154</v>
      </c>
      <c r="H93" s="7" t="s">
        <v>97</v>
      </c>
      <c r="I93" s="7" t="s">
        <v>99</v>
      </c>
      <c r="J93" s="13">
        <f>IFERROR(INDEX(Rates!$D$6:$D$15,MATCH(H93&amp;"|"&amp;I93,Rates!$C$6:$C$15,0)),0)</f>
        <v>120</v>
      </c>
      <c r="K93" s="14">
        <v>12</v>
      </c>
      <c r="L93" s="13">
        <f t="shared" si="2"/>
        <v>1440</v>
      </c>
      <c r="M93" s="7" t="s">
        <v>401</v>
      </c>
    </row>
    <row r="94" spans="1:13">
      <c r="A94" s="15">
        <v>90</v>
      </c>
      <c r="B94" s="15"/>
      <c r="C94" s="15" t="s">
        <v>398</v>
      </c>
      <c r="D94" s="16" t="s">
        <v>402</v>
      </c>
      <c r="E94" s="15">
        <v>5</v>
      </c>
      <c r="F94" s="15" t="str">
        <f>IFERROR(INDEX(Categories!$B$5:$B$27,MATCH(E94,Categories!$A$5:$A$27,0)),"")</f>
        <v>Custom Tools</v>
      </c>
      <c r="G94" s="15" t="s">
        <v>1155</v>
      </c>
      <c r="H94" s="15" t="s">
        <v>97</v>
      </c>
      <c r="I94" s="15" t="s">
        <v>99</v>
      </c>
      <c r="J94" s="17">
        <f>IFERROR(INDEX(Rates!$D$6:$D$15,MATCH(H94&amp;"|"&amp;I94,Rates!$C$6:$C$15,0)),0)</f>
        <v>120</v>
      </c>
      <c r="K94" s="18">
        <v>15</v>
      </c>
      <c r="L94" s="17">
        <f t="shared" si="2"/>
        <v>1800</v>
      </c>
      <c r="M94" s="15" t="s">
        <v>404</v>
      </c>
    </row>
    <row r="95" spans="1:13">
      <c r="A95" s="7">
        <v>91</v>
      </c>
      <c r="B95" s="7"/>
      <c r="C95" s="7" t="s">
        <v>398</v>
      </c>
      <c r="D95" s="8" t="s">
        <v>405</v>
      </c>
      <c r="E95" s="7">
        <v>5</v>
      </c>
      <c r="F95" s="7" t="str">
        <f>IFERROR(INDEX(Categories!$B$5:$B$27,MATCH(E95,Categories!$A$5:$A$27,0)),"")</f>
        <v>Custom Tools</v>
      </c>
      <c r="G95" s="7" t="s">
        <v>1156</v>
      </c>
      <c r="H95" s="7" t="s">
        <v>97</v>
      </c>
      <c r="I95" s="7" t="s">
        <v>99</v>
      </c>
      <c r="J95" s="13">
        <f>IFERROR(INDEX(Rates!$D$6:$D$15,MATCH(H95&amp;"|"&amp;I95,Rates!$C$6:$C$15,0)),0)</f>
        <v>120</v>
      </c>
      <c r="K95" s="14">
        <v>12</v>
      </c>
      <c r="L95" s="13">
        <f t="shared" si="2"/>
        <v>1440</v>
      </c>
      <c r="M95" s="7"/>
    </row>
    <row r="96" spans="1:13">
      <c r="A96" s="15">
        <v>92</v>
      </c>
      <c r="B96" s="15"/>
      <c r="C96" s="15" t="s">
        <v>398</v>
      </c>
      <c r="D96" s="16" t="s">
        <v>407</v>
      </c>
      <c r="E96" s="15">
        <v>5</v>
      </c>
      <c r="F96" s="15" t="str">
        <f>IFERROR(INDEX(Categories!$B$5:$B$27,MATCH(E96,Categories!$A$5:$A$27,0)),"")</f>
        <v>Custom Tools</v>
      </c>
      <c r="G96" s="15" t="s">
        <v>1157</v>
      </c>
      <c r="H96" s="15" t="s">
        <v>97</v>
      </c>
      <c r="I96" s="15" t="s">
        <v>99</v>
      </c>
      <c r="J96" s="17">
        <f>IFERROR(INDEX(Rates!$D$6:$D$15,MATCH(H96&amp;"|"&amp;I96,Rates!$C$6:$C$15,0)),0)</f>
        <v>120</v>
      </c>
      <c r="K96" s="18">
        <v>44</v>
      </c>
      <c r="L96" s="17">
        <f t="shared" si="2"/>
        <v>5280</v>
      </c>
      <c r="M96" s="15" t="s">
        <v>409</v>
      </c>
    </row>
    <row r="97" spans="1:13" ht="25.5">
      <c r="A97" s="7">
        <v>93</v>
      </c>
      <c r="B97" s="7"/>
      <c r="C97" s="7" t="s">
        <v>80</v>
      </c>
      <c r="D97" s="8" t="s">
        <v>410</v>
      </c>
      <c r="E97" s="7">
        <v>18</v>
      </c>
      <c r="F97" s="7" t="str">
        <f>IFERROR(INDEX(Categories!$B$5:$B$27,MATCH(E97,Categories!$A$5:$A$27,0)),"")</f>
        <v>Performance &amp; Security</v>
      </c>
      <c r="G97" s="7" t="s">
        <v>1158</v>
      </c>
      <c r="H97" s="7" t="s">
        <v>97</v>
      </c>
      <c r="I97" s="7" t="s">
        <v>98</v>
      </c>
      <c r="J97" s="13">
        <f>IFERROR(INDEX(Rates!$D$6:$D$15,MATCH(H97&amp;"|"&amp;I97,Rates!$C$6:$C$15,0)),0)</f>
        <v>100</v>
      </c>
      <c r="K97" s="14">
        <v>1</v>
      </c>
      <c r="L97" s="13">
        <f t="shared" si="2"/>
        <v>100</v>
      </c>
      <c r="M97" s="7" t="s">
        <v>412</v>
      </c>
    </row>
    <row r="98" spans="1:13" ht="25.5">
      <c r="A98" s="15">
        <v>94</v>
      </c>
      <c r="B98" s="15"/>
      <c r="C98" s="15" t="s">
        <v>80</v>
      </c>
      <c r="D98" s="16" t="s">
        <v>1009</v>
      </c>
      <c r="E98" s="15">
        <v>18</v>
      </c>
      <c r="F98" s="15" t="str">
        <f>IFERROR(INDEX(Categories!$B$5:$B$27,MATCH(E98,Categories!$A$5:$A$27,0)),"")</f>
        <v>Performance &amp; Security</v>
      </c>
      <c r="G98" s="15" t="s">
        <v>1159</v>
      </c>
      <c r="H98" s="15" t="s">
        <v>97</v>
      </c>
      <c r="I98" s="15" t="s">
        <v>99</v>
      </c>
      <c r="J98" s="17">
        <f>IFERROR(INDEX(Rates!$D$6:$D$15,MATCH(H98&amp;"|"&amp;I98,Rates!$C$6:$C$15,0)),0)</f>
        <v>120</v>
      </c>
      <c r="K98" s="18">
        <v>8</v>
      </c>
      <c r="L98" s="17">
        <f t="shared" si="2"/>
        <v>960</v>
      </c>
      <c r="M98" s="15" t="s">
        <v>1160</v>
      </c>
    </row>
    <row r="99" spans="1:13" ht="25.5">
      <c r="A99" s="7">
        <v>95</v>
      </c>
      <c r="B99" s="7"/>
      <c r="C99" s="7" t="s">
        <v>80</v>
      </c>
      <c r="D99" s="8" t="s">
        <v>416</v>
      </c>
      <c r="E99" s="7">
        <v>18</v>
      </c>
      <c r="F99" s="7" t="str">
        <f>IFERROR(INDEX(Categories!$B$5:$B$27,MATCH(E99,Categories!$A$5:$A$27,0)),"")</f>
        <v>Performance &amp; Security</v>
      </c>
      <c r="G99" s="7" t="s">
        <v>1161</v>
      </c>
      <c r="H99" s="7" t="s">
        <v>97</v>
      </c>
      <c r="I99" s="7" t="s">
        <v>98</v>
      </c>
      <c r="J99" s="13">
        <f>IFERROR(INDEX(Rates!$D$6:$D$15,MATCH(H99&amp;"|"&amp;I99,Rates!$C$6:$C$15,0)),0)</f>
        <v>100</v>
      </c>
      <c r="K99" s="14">
        <v>2</v>
      </c>
      <c r="L99" s="13">
        <f t="shared" si="2"/>
        <v>200</v>
      </c>
      <c r="M99" s="7" t="s">
        <v>1162</v>
      </c>
    </row>
    <row r="100" spans="1:13" ht="25.5">
      <c r="A100" s="15">
        <v>96</v>
      </c>
      <c r="B100" s="15"/>
      <c r="C100" s="15" t="s">
        <v>419</v>
      </c>
      <c r="D100" s="16" t="s">
        <v>420</v>
      </c>
      <c r="E100" s="15">
        <v>4</v>
      </c>
      <c r="F100" s="15" t="str">
        <f>IFERROR(INDEX(Categories!$B$5:$B$27,MATCH(E100,Categories!$A$5:$A$27,0)),"")</f>
        <v>Conversion Tracking</v>
      </c>
      <c r="G100" s="15" t="s">
        <v>788</v>
      </c>
      <c r="H100" s="15" t="s">
        <v>97</v>
      </c>
      <c r="I100" s="15" t="s">
        <v>98</v>
      </c>
      <c r="J100" s="17">
        <f>IFERROR(INDEX(Rates!$D$6:$D$15,MATCH(H100&amp;"|"&amp;I100,Rates!$C$6:$C$15,0)),0)</f>
        <v>100</v>
      </c>
      <c r="K100" s="18">
        <v>2</v>
      </c>
      <c r="L100" s="17">
        <f t="shared" si="2"/>
        <v>200</v>
      </c>
      <c r="M100" s="15" t="s">
        <v>422</v>
      </c>
    </row>
    <row r="101" spans="1:13">
      <c r="A101" s="7">
        <v>97</v>
      </c>
      <c r="B101" s="7"/>
      <c r="C101" s="7" t="s">
        <v>419</v>
      </c>
      <c r="D101" s="8" t="s">
        <v>423</v>
      </c>
      <c r="E101" s="7">
        <v>4</v>
      </c>
      <c r="F101" s="7" t="str">
        <f>IFERROR(INDEX(Categories!$B$5:$B$27,MATCH(E101,Categories!$A$5:$A$27,0)),"")</f>
        <v>Conversion Tracking</v>
      </c>
      <c r="G101" s="7" t="s">
        <v>1015</v>
      </c>
      <c r="H101" s="7" t="s">
        <v>97</v>
      </c>
      <c r="I101" s="7" t="s">
        <v>98</v>
      </c>
      <c r="J101" s="13">
        <f>IFERROR(INDEX(Rates!$D$6:$D$15,MATCH(H101&amp;"|"&amp;I101,Rates!$C$6:$C$15,0)),0)</f>
        <v>100</v>
      </c>
      <c r="K101" s="14">
        <v>3</v>
      </c>
      <c r="L101" s="13">
        <f t="shared" ref="L101:L132" si="3">K101*J101</f>
        <v>300</v>
      </c>
      <c r="M101" s="7" t="s">
        <v>425</v>
      </c>
    </row>
    <row r="102" spans="1:13" ht="25.5">
      <c r="A102" s="15">
        <v>98</v>
      </c>
      <c r="B102" s="15"/>
      <c r="C102" s="15" t="s">
        <v>419</v>
      </c>
      <c r="D102" s="16" t="s">
        <v>426</v>
      </c>
      <c r="E102" s="15">
        <v>4</v>
      </c>
      <c r="F102" s="15" t="str">
        <f>IFERROR(INDEX(Categories!$B$5:$B$27,MATCH(E102,Categories!$A$5:$A$27,0)),"")</f>
        <v>Conversion Tracking</v>
      </c>
      <c r="G102" s="15" t="s">
        <v>426</v>
      </c>
      <c r="H102" s="15" t="s">
        <v>97</v>
      </c>
      <c r="I102" s="15" t="s">
        <v>98</v>
      </c>
      <c r="J102" s="17">
        <f>IFERROR(INDEX(Rates!$D$6:$D$15,MATCH(H102&amp;"|"&amp;I102,Rates!$C$6:$C$15,0)),0)</f>
        <v>100</v>
      </c>
      <c r="K102" s="18">
        <v>1</v>
      </c>
      <c r="L102" s="17">
        <f t="shared" si="3"/>
        <v>100</v>
      </c>
      <c r="M102" s="15" t="s">
        <v>657</v>
      </c>
    </row>
    <row r="103" spans="1:13" ht="25.5">
      <c r="A103" s="7">
        <v>99</v>
      </c>
      <c r="B103" s="7"/>
      <c r="C103" s="7" t="s">
        <v>419</v>
      </c>
      <c r="D103" s="8" t="s">
        <v>1163</v>
      </c>
      <c r="E103" s="7">
        <v>4</v>
      </c>
      <c r="F103" s="7" t="str">
        <f>IFERROR(INDEX(Categories!$B$5:$B$27,MATCH(E103,Categories!$A$5:$A$27,0)),"")</f>
        <v>Conversion Tracking</v>
      </c>
      <c r="G103" s="7" t="s">
        <v>1164</v>
      </c>
      <c r="H103" s="7" t="s">
        <v>97</v>
      </c>
      <c r="I103" s="7" t="s">
        <v>98</v>
      </c>
      <c r="J103" s="13">
        <f>IFERROR(INDEX(Rates!$D$6:$D$15,MATCH(H103&amp;"|"&amp;I103,Rates!$C$6:$C$15,0)),0)</f>
        <v>100</v>
      </c>
      <c r="K103" s="14">
        <v>6</v>
      </c>
      <c r="L103" s="13">
        <f t="shared" si="3"/>
        <v>600</v>
      </c>
      <c r="M103" s="7" t="s">
        <v>1165</v>
      </c>
    </row>
    <row r="104" spans="1:13">
      <c r="A104" s="15">
        <v>100</v>
      </c>
      <c r="B104" s="15"/>
      <c r="C104" s="15" t="s">
        <v>419</v>
      </c>
      <c r="D104" s="16" t="s">
        <v>1166</v>
      </c>
      <c r="E104" s="15">
        <v>4</v>
      </c>
      <c r="F104" s="15" t="str">
        <f>IFERROR(INDEX(Categories!$B$5:$B$27,MATCH(E104,Categories!$A$5:$A$27,0)),"")</f>
        <v>Conversion Tracking</v>
      </c>
      <c r="G104" s="15" t="s">
        <v>791</v>
      </c>
      <c r="H104" s="15" t="s">
        <v>97</v>
      </c>
      <c r="I104" s="15" t="s">
        <v>99</v>
      </c>
      <c r="J104" s="17">
        <f>IFERROR(INDEX(Rates!$D$6:$D$15,MATCH(H104&amp;"|"&amp;I104,Rates!$C$6:$C$15,0)),0)</f>
        <v>120</v>
      </c>
      <c r="K104" s="18">
        <v>8</v>
      </c>
      <c r="L104" s="17">
        <f t="shared" si="3"/>
        <v>960</v>
      </c>
      <c r="M104" s="15" t="s">
        <v>463</v>
      </c>
    </row>
    <row r="105" spans="1:13">
      <c r="A105" s="7">
        <v>101</v>
      </c>
      <c r="B105" s="7"/>
      <c r="C105" s="7" t="s">
        <v>429</v>
      </c>
      <c r="D105" s="8" t="s">
        <v>430</v>
      </c>
      <c r="E105" s="7">
        <v>22</v>
      </c>
      <c r="F105" s="7" t="str">
        <f>IFERROR(INDEX(Categories!$B$5:$B$27,MATCH(E105,Categories!$A$5:$A$27,0)),"")</f>
        <v>SEO &amp; Content</v>
      </c>
      <c r="G105" s="7" t="s">
        <v>1018</v>
      </c>
      <c r="H105" s="7" t="s">
        <v>97</v>
      </c>
      <c r="I105" s="7" t="s">
        <v>98</v>
      </c>
      <c r="J105" s="13">
        <f>IFERROR(INDEX(Rates!$D$6:$D$15,MATCH(H105&amp;"|"&amp;I105,Rates!$C$6:$C$15,0)),0)</f>
        <v>100</v>
      </c>
      <c r="K105" s="14">
        <v>2</v>
      </c>
      <c r="L105" s="13">
        <f t="shared" si="3"/>
        <v>200</v>
      </c>
      <c r="M105" s="7" t="s">
        <v>432</v>
      </c>
    </row>
    <row r="106" spans="1:13">
      <c r="A106" s="15">
        <v>102</v>
      </c>
      <c r="B106" s="15"/>
      <c r="C106" s="15" t="s">
        <v>429</v>
      </c>
      <c r="D106" s="16" t="s">
        <v>433</v>
      </c>
      <c r="E106" s="15">
        <v>22</v>
      </c>
      <c r="F106" s="15" t="str">
        <f>IFERROR(INDEX(Categories!$B$5:$B$27,MATCH(E106,Categories!$A$5:$A$27,0)),"")</f>
        <v>SEO &amp; Content</v>
      </c>
      <c r="G106" s="15" t="s">
        <v>1167</v>
      </c>
      <c r="H106" s="15" t="s">
        <v>97</v>
      </c>
      <c r="I106" s="15" t="s">
        <v>98</v>
      </c>
      <c r="J106" s="17">
        <f>IFERROR(INDEX(Rates!$D$6:$D$15,MATCH(H106&amp;"|"&amp;I106,Rates!$C$6:$C$15,0)),0)</f>
        <v>100</v>
      </c>
      <c r="K106" s="18">
        <v>2</v>
      </c>
      <c r="L106" s="17">
        <f t="shared" si="3"/>
        <v>200</v>
      </c>
      <c r="M106" s="15"/>
    </row>
    <row r="107" spans="1:13" ht="25.5">
      <c r="A107" s="7">
        <v>103</v>
      </c>
      <c r="B107" s="7"/>
      <c r="C107" s="7" t="s">
        <v>429</v>
      </c>
      <c r="D107" s="8" t="s">
        <v>436</v>
      </c>
      <c r="E107" s="7">
        <v>22</v>
      </c>
      <c r="F107" s="7" t="str">
        <f>IFERROR(INDEX(Categories!$B$5:$B$27,MATCH(E107,Categories!$A$5:$A$27,0)),"")</f>
        <v>SEO &amp; Content</v>
      </c>
      <c r="G107" s="7" t="s">
        <v>663</v>
      </c>
      <c r="H107" s="7" t="s">
        <v>97</v>
      </c>
      <c r="I107" s="7" t="s">
        <v>98</v>
      </c>
      <c r="J107" s="13">
        <f>IFERROR(INDEX(Rates!$D$6:$D$15,MATCH(H107&amp;"|"&amp;I107,Rates!$C$6:$C$15,0)),0)</f>
        <v>100</v>
      </c>
      <c r="K107" s="14">
        <v>2</v>
      </c>
      <c r="L107" s="13">
        <f t="shared" si="3"/>
        <v>200</v>
      </c>
      <c r="M107" s="7" t="s">
        <v>438</v>
      </c>
    </row>
    <row r="108" spans="1:13" ht="25.5">
      <c r="A108" s="15">
        <v>104</v>
      </c>
      <c r="B108" s="15"/>
      <c r="C108" s="15" t="s">
        <v>84</v>
      </c>
      <c r="D108" s="16" t="s">
        <v>439</v>
      </c>
      <c r="E108" s="15">
        <v>22</v>
      </c>
      <c r="F108" s="15" t="str">
        <f>IFERROR(INDEX(Categories!$B$5:$B$27,MATCH(E108,Categories!$A$5:$A$27,0)),"")</f>
        <v>SEO &amp; Content</v>
      </c>
      <c r="G108" s="15" t="s">
        <v>1168</v>
      </c>
      <c r="H108" s="15" t="s">
        <v>97</v>
      </c>
      <c r="I108" s="15" t="s">
        <v>98</v>
      </c>
      <c r="J108" s="17">
        <f>IFERROR(INDEX(Rates!$D$6:$D$15,MATCH(H108&amp;"|"&amp;I108,Rates!$C$6:$C$15,0)),0)</f>
        <v>100</v>
      </c>
      <c r="K108" s="18">
        <v>3</v>
      </c>
      <c r="L108" s="17">
        <f t="shared" si="3"/>
        <v>300</v>
      </c>
      <c r="M108" s="15" t="s">
        <v>1169</v>
      </c>
    </row>
    <row r="109" spans="1:13">
      <c r="A109" s="7">
        <v>105</v>
      </c>
      <c r="B109" s="7"/>
      <c r="C109" s="7" t="s">
        <v>84</v>
      </c>
      <c r="D109" s="8" t="s">
        <v>442</v>
      </c>
      <c r="E109" s="7">
        <v>24</v>
      </c>
      <c r="F109" s="7" t="str">
        <f>IFERROR(INDEX(Categories!$B$5:$B$27,MATCH(E109,Categories!$A$5:$A$27,0)),"")</f>
        <v>SEO on-page</v>
      </c>
      <c r="G109" s="7" t="s">
        <v>1022</v>
      </c>
      <c r="H109" s="7" t="s">
        <v>97</v>
      </c>
      <c r="I109" s="7" t="s">
        <v>99</v>
      </c>
      <c r="J109" s="13">
        <f>IFERROR(INDEX(Rates!$D$6:$D$15,MATCH(H109&amp;"|"&amp;I109,Rates!$C$6:$C$15,0)),0)</f>
        <v>120</v>
      </c>
      <c r="K109" s="14">
        <v>3</v>
      </c>
      <c r="L109" s="13">
        <f t="shared" si="3"/>
        <v>360</v>
      </c>
      <c r="M109" s="7" t="s">
        <v>1170</v>
      </c>
    </row>
    <row r="110" spans="1:13" ht="25.5">
      <c r="A110" s="15">
        <v>106</v>
      </c>
      <c r="B110" s="15"/>
      <c r="C110" s="15" t="s">
        <v>84</v>
      </c>
      <c r="D110" s="16" t="s">
        <v>445</v>
      </c>
      <c r="E110" s="15">
        <v>24</v>
      </c>
      <c r="F110" s="15" t="str">
        <f>IFERROR(INDEX(Categories!$B$5:$B$27,MATCH(E110,Categories!$A$5:$A$27,0)),"")</f>
        <v>SEO on-page</v>
      </c>
      <c r="G110" s="15" t="s">
        <v>1023</v>
      </c>
      <c r="H110" s="15" t="s">
        <v>97</v>
      </c>
      <c r="I110" s="15" t="s">
        <v>98</v>
      </c>
      <c r="J110" s="17">
        <f>IFERROR(INDEX(Rates!$D$6:$D$15,MATCH(H110&amp;"|"&amp;I110,Rates!$C$6:$C$15,0)),0)</f>
        <v>100</v>
      </c>
      <c r="K110" s="18">
        <v>1</v>
      </c>
      <c r="L110" s="17">
        <f t="shared" si="3"/>
        <v>100</v>
      </c>
      <c r="M110" s="15" t="s">
        <v>1171</v>
      </c>
    </row>
    <row r="111" spans="1:13">
      <c r="A111" s="7">
        <v>107</v>
      </c>
      <c r="B111" s="7"/>
      <c r="C111" s="7" t="s">
        <v>84</v>
      </c>
      <c r="D111" s="8" t="s">
        <v>447</v>
      </c>
      <c r="E111" s="7">
        <v>24</v>
      </c>
      <c r="F111" s="7" t="str">
        <f>IFERROR(INDEX(Categories!$B$5:$B$27,MATCH(E111,Categories!$A$5:$A$27,0)),"")</f>
        <v>SEO on-page</v>
      </c>
      <c r="G111" s="7" t="s">
        <v>1024</v>
      </c>
      <c r="H111" s="7" t="s">
        <v>97</v>
      </c>
      <c r="I111" s="7" t="s">
        <v>98</v>
      </c>
      <c r="J111" s="13">
        <f>IFERROR(INDEX(Rates!$D$6:$D$15,MATCH(H111&amp;"|"&amp;I111,Rates!$C$6:$C$15,0)),0)</f>
        <v>100</v>
      </c>
      <c r="K111" s="14">
        <v>1</v>
      </c>
      <c r="L111" s="13">
        <f t="shared" si="3"/>
        <v>100</v>
      </c>
      <c r="M111" s="7"/>
    </row>
    <row r="112" spans="1:13">
      <c r="A112" s="15">
        <v>108</v>
      </c>
      <c r="B112" s="15"/>
      <c r="C112" s="15" t="s">
        <v>84</v>
      </c>
      <c r="D112" s="16" t="s">
        <v>806</v>
      </c>
      <c r="E112" s="15">
        <v>22</v>
      </c>
      <c r="F112" s="15" t="str">
        <f>IFERROR(INDEX(Categories!$B$5:$B$27,MATCH(E112,Categories!$A$5:$A$27,0)),"")</f>
        <v>SEO &amp; Content</v>
      </c>
      <c r="G112" s="15" t="s">
        <v>1026</v>
      </c>
      <c r="H112" s="15" t="s">
        <v>100</v>
      </c>
      <c r="I112" s="15" t="s">
        <v>98</v>
      </c>
      <c r="J112" s="17">
        <f>IFERROR(INDEX(Rates!$D$6:$D$15,MATCH(H112&amp;"|"&amp;I112,Rates!$C$6:$C$15,0)),0)</f>
        <v>100</v>
      </c>
      <c r="K112" s="18">
        <v>3</v>
      </c>
      <c r="L112" s="17">
        <f t="shared" si="3"/>
        <v>300</v>
      </c>
      <c r="M112" s="15" t="s">
        <v>451</v>
      </c>
    </row>
    <row r="113" spans="1:13">
      <c r="A113" s="7">
        <v>109</v>
      </c>
      <c r="B113" s="7"/>
      <c r="C113" s="7" t="s">
        <v>84</v>
      </c>
      <c r="D113" s="8" t="s">
        <v>1172</v>
      </c>
      <c r="E113" s="7">
        <v>22</v>
      </c>
      <c r="F113" s="7" t="str">
        <f>IFERROR(INDEX(Categories!$B$5:$B$27,MATCH(E113,Categories!$A$5:$A$27,0)),"")</f>
        <v>SEO &amp; Content</v>
      </c>
      <c r="G113" s="7" t="s">
        <v>1173</v>
      </c>
      <c r="H113" s="7" t="s">
        <v>100</v>
      </c>
      <c r="I113" s="7" t="s">
        <v>99</v>
      </c>
      <c r="J113" s="13">
        <f>IFERROR(INDEX(Rates!$D$6:$D$15,MATCH(H113&amp;"|"&amp;I113,Rates!$C$6:$C$15,0)),0)</f>
        <v>130</v>
      </c>
      <c r="K113" s="14">
        <v>6</v>
      </c>
      <c r="L113" s="13">
        <f t="shared" si="3"/>
        <v>780</v>
      </c>
      <c r="M113" s="7" t="s">
        <v>680</v>
      </c>
    </row>
    <row r="114" spans="1:13">
      <c r="A114" s="15">
        <v>110</v>
      </c>
      <c r="B114" s="15"/>
      <c r="C114" s="15" t="s">
        <v>84</v>
      </c>
      <c r="D114" s="16" t="s">
        <v>1174</v>
      </c>
      <c r="E114" s="15">
        <v>24</v>
      </c>
      <c r="F114" s="15" t="str">
        <f>IFERROR(INDEX(Categories!$B$5:$B$27,MATCH(E114,Categories!$A$5:$A$27,0)),"")</f>
        <v>SEO on-page</v>
      </c>
      <c r="G114" s="15" t="s">
        <v>1175</v>
      </c>
      <c r="H114" s="15" t="s">
        <v>97</v>
      </c>
      <c r="I114" s="15" t="s">
        <v>98</v>
      </c>
      <c r="J114" s="17">
        <f>IFERROR(INDEX(Rates!$D$6:$D$15,MATCH(H114&amp;"|"&amp;I114,Rates!$C$6:$C$15,0)),0)</f>
        <v>100</v>
      </c>
      <c r="K114" s="18">
        <v>2</v>
      </c>
      <c r="L114" s="17">
        <f t="shared" si="3"/>
        <v>200</v>
      </c>
      <c r="M114" s="15" t="s">
        <v>675</v>
      </c>
    </row>
    <row r="115" spans="1:13" ht="25.5">
      <c r="A115" s="7">
        <v>111</v>
      </c>
      <c r="B115" s="7"/>
      <c r="C115" s="7" t="s">
        <v>84</v>
      </c>
      <c r="D115" s="8" t="s">
        <v>1176</v>
      </c>
      <c r="E115" s="7">
        <v>18</v>
      </c>
      <c r="F115" s="7" t="str">
        <f>IFERROR(INDEX(Categories!$B$5:$B$27,MATCH(E115,Categories!$A$5:$A$27,0)),"")</f>
        <v>Performance &amp; Security</v>
      </c>
      <c r="G115" s="7" t="s">
        <v>1177</v>
      </c>
      <c r="H115" s="7" t="s">
        <v>97</v>
      </c>
      <c r="I115" s="7" t="s">
        <v>99</v>
      </c>
      <c r="J115" s="13">
        <f>IFERROR(INDEX(Rates!$D$6:$D$15,MATCH(H115&amp;"|"&amp;I115,Rates!$C$6:$C$15,0)),0)</f>
        <v>120</v>
      </c>
      <c r="K115" s="14">
        <v>6</v>
      </c>
      <c r="L115" s="13">
        <f t="shared" si="3"/>
        <v>720</v>
      </c>
      <c r="M115" s="7" t="s">
        <v>1178</v>
      </c>
    </row>
    <row r="116" spans="1:13" ht="25.5">
      <c r="A116" s="15">
        <v>112</v>
      </c>
      <c r="B116" s="15"/>
      <c r="C116" s="15" t="s">
        <v>70</v>
      </c>
      <c r="D116" s="16" t="s">
        <v>1030</v>
      </c>
      <c r="E116" s="15">
        <v>13</v>
      </c>
      <c r="F116" s="15" t="str">
        <f>IFERROR(INDEX(Categories!$B$5:$B$27,MATCH(E116,Categories!$A$5:$A$27,0)),"")</f>
        <v>Environment Setup</v>
      </c>
      <c r="G116" s="15" t="s">
        <v>1031</v>
      </c>
      <c r="H116" s="15" t="s">
        <v>97</v>
      </c>
      <c r="I116" s="15" t="s">
        <v>99</v>
      </c>
      <c r="J116" s="17">
        <f>IFERROR(INDEX(Rates!$D$6:$D$15,MATCH(H116&amp;"|"&amp;I116,Rates!$C$6:$C$15,0)),0)</f>
        <v>120</v>
      </c>
      <c r="K116" s="18">
        <v>3</v>
      </c>
      <c r="L116" s="17">
        <f t="shared" si="3"/>
        <v>360</v>
      </c>
      <c r="M116" s="15" t="s">
        <v>1179</v>
      </c>
    </row>
    <row r="117" spans="1:13" ht="25.5">
      <c r="A117" s="7">
        <v>113</v>
      </c>
      <c r="B117" s="7"/>
      <c r="C117" s="7" t="s">
        <v>70</v>
      </c>
      <c r="D117" s="8" t="s">
        <v>1180</v>
      </c>
      <c r="E117" s="7">
        <v>13</v>
      </c>
      <c r="F117" s="7" t="str">
        <f>IFERROR(INDEX(Categories!$B$5:$B$27,MATCH(E117,Categories!$A$5:$A$27,0)),"")</f>
        <v>Environment Setup</v>
      </c>
      <c r="G117" s="7" t="s">
        <v>1181</v>
      </c>
      <c r="H117" s="7" t="s">
        <v>97</v>
      </c>
      <c r="I117" s="7" t="s">
        <v>98</v>
      </c>
      <c r="J117" s="13">
        <f>IFERROR(INDEX(Rates!$D$6:$D$15,MATCH(H117&amp;"|"&amp;I117,Rates!$C$6:$C$15,0)),0)</f>
        <v>100</v>
      </c>
      <c r="K117" s="14">
        <v>2</v>
      </c>
      <c r="L117" s="13">
        <f t="shared" si="3"/>
        <v>200</v>
      </c>
      <c r="M117" s="7" t="s">
        <v>1182</v>
      </c>
    </row>
    <row r="118" spans="1:13" ht="25.5">
      <c r="A118" s="15">
        <v>114</v>
      </c>
      <c r="B118" s="15"/>
      <c r="C118" s="15" t="s">
        <v>70</v>
      </c>
      <c r="D118" s="16" t="s">
        <v>1183</v>
      </c>
      <c r="E118" s="15">
        <v>13</v>
      </c>
      <c r="F118" s="15" t="str">
        <f>IFERROR(INDEX(Categories!$B$5:$B$27,MATCH(E118,Categories!$A$5:$A$27,0)),"")</f>
        <v>Environment Setup</v>
      </c>
      <c r="G118" s="15" t="s">
        <v>1184</v>
      </c>
      <c r="H118" s="15" t="s">
        <v>97</v>
      </c>
      <c r="I118" s="15" t="s">
        <v>98</v>
      </c>
      <c r="J118" s="17">
        <f>IFERROR(INDEX(Rates!$D$6:$D$15,MATCH(H118&amp;"|"&amp;I118,Rates!$C$6:$C$15,0)),0)</f>
        <v>100</v>
      </c>
      <c r="K118" s="18">
        <v>3</v>
      </c>
      <c r="L118" s="17">
        <f t="shared" si="3"/>
        <v>300</v>
      </c>
      <c r="M118" s="15" t="s">
        <v>1185</v>
      </c>
    </row>
    <row r="119" spans="1:13" ht="25.5">
      <c r="A119" s="7">
        <v>115</v>
      </c>
      <c r="B119" s="7"/>
      <c r="C119" s="7" t="s">
        <v>70</v>
      </c>
      <c r="D119" s="8" t="s">
        <v>1186</v>
      </c>
      <c r="E119" s="7">
        <v>13</v>
      </c>
      <c r="F119" s="7" t="str">
        <f>IFERROR(INDEX(Categories!$B$5:$B$27,MATCH(E119,Categories!$A$5:$A$27,0)),"")</f>
        <v>Environment Setup</v>
      </c>
      <c r="G119" s="7" t="s">
        <v>1187</v>
      </c>
      <c r="H119" s="7" t="s">
        <v>97</v>
      </c>
      <c r="I119" s="7" t="s">
        <v>98</v>
      </c>
      <c r="J119" s="13">
        <f>IFERROR(INDEX(Rates!$D$6:$D$15,MATCH(H119&amp;"|"&amp;I119,Rates!$C$6:$C$15,0)),0)</f>
        <v>100</v>
      </c>
      <c r="K119" s="14">
        <v>3</v>
      </c>
      <c r="L119" s="13">
        <f t="shared" si="3"/>
        <v>300</v>
      </c>
      <c r="M119" s="7" t="s">
        <v>1188</v>
      </c>
    </row>
    <row r="120" spans="1:13">
      <c r="A120" s="15">
        <v>116</v>
      </c>
      <c r="B120" s="15"/>
      <c r="C120" s="15" t="s">
        <v>70</v>
      </c>
      <c r="D120" s="16" t="s">
        <v>1189</v>
      </c>
      <c r="E120" s="15">
        <v>13</v>
      </c>
      <c r="F120" s="15" t="str">
        <f>IFERROR(INDEX(Categories!$B$5:$B$27,MATCH(E120,Categories!$A$5:$A$27,0)),"")</f>
        <v>Environment Setup</v>
      </c>
      <c r="G120" s="15" t="s">
        <v>1190</v>
      </c>
      <c r="H120" s="15" t="s">
        <v>97</v>
      </c>
      <c r="I120" s="15" t="s">
        <v>99</v>
      </c>
      <c r="J120" s="17">
        <f>IFERROR(INDEX(Rates!$D$6:$D$15,MATCH(H120&amp;"|"&amp;I120,Rates!$C$6:$C$15,0)),0)</f>
        <v>120</v>
      </c>
      <c r="K120" s="18">
        <v>2</v>
      </c>
      <c r="L120" s="17">
        <f t="shared" si="3"/>
        <v>240</v>
      </c>
      <c r="M120" s="15" t="s">
        <v>1191</v>
      </c>
    </row>
    <row r="121" spans="1:13">
      <c r="A121" s="7">
        <v>117</v>
      </c>
      <c r="B121" s="7"/>
      <c r="C121" s="7" t="s">
        <v>70</v>
      </c>
      <c r="D121" s="8" t="s">
        <v>1192</v>
      </c>
      <c r="E121" s="7">
        <v>13</v>
      </c>
      <c r="F121" s="7" t="str">
        <f>IFERROR(INDEX(Categories!$B$5:$B$27,MATCH(E121,Categories!$A$5:$A$27,0)),"")</f>
        <v>Environment Setup</v>
      </c>
      <c r="G121" s="7" t="s">
        <v>1193</v>
      </c>
      <c r="H121" s="7" t="s">
        <v>97</v>
      </c>
      <c r="I121" s="7" t="s">
        <v>98</v>
      </c>
      <c r="J121" s="13">
        <f>IFERROR(INDEX(Rates!$D$6:$D$15,MATCH(H121&amp;"|"&amp;I121,Rates!$C$6:$C$15,0)),0)</f>
        <v>100</v>
      </c>
      <c r="K121" s="14">
        <v>3</v>
      </c>
      <c r="L121" s="13">
        <f t="shared" si="3"/>
        <v>300</v>
      </c>
      <c r="M121" s="7" t="s">
        <v>1047</v>
      </c>
    </row>
    <row r="122" spans="1:13">
      <c r="A122" s="15">
        <v>118</v>
      </c>
      <c r="B122" s="15"/>
      <c r="C122" s="15" t="s">
        <v>70</v>
      </c>
      <c r="D122" s="16" t="s">
        <v>1194</v>
      </c>
      <c r="E122" s="15">
        <v>13</v>
      </c>
      <c r="F122" s="15" t="str">
        <f>IFERROR(INDEX(Categories!$B$5:$B$27,MATCH(E122,Categories!$A$5:$A$27,0)),"")</f>
        <v>Environment Setup</v>
      </c>
      <c r="G122" s="15" t="s">
        <v>1195</v>
      </c>
      <c r="H122" s="15" t="s">
        <v>97</v>
      </c>
      <c r="I122" s="15" t="s">
        <v>99</v>
      </c>
      <c r="J122" s="17">
        <f>IFERROR(INDEX(Rates!$D$6:$D$15,MATCH(H122&amp;"|"&amp;I122,Rates!$C$6:$C$15,0)),0)</f>
        <v>120</v>
      </c>
      <c r="K122" s="18">
        <v>2</v>
      </c>
      <c r="L122" s="17">
        <f t="shared" si="3"/>
        <v>240</v>
      </c>
      <c r="M122" s="15" t="s">
        <v>1196</v>
      </c>
    </row>
    <row r="123" spans="1:13" ht="25.5">
      <c r="A123" s="7">
        <v>119</v>
      </c>
      <c r="B123" s="7"/>
      <c r="C123" s="7" t="s">
        <v>70</v>
      </c>
      <c r="D123" s="8" t="s">
        <v>1050</v>
      </c>
      <c r="E123" s="7">
        <v>13</v>
      </c>
      <c r="F123" s="7" t="str">
        <f>IFERROR(INDEX(Categories!$B$5:$B$27,MATCH(E123,Categories!$A$5:$A$27,0)),"")</f>
        <v>Environment Setup</v>
      </c>
      <c r="G123" s="7" t="s">
        <v>1197</v>
      </c>
      <c r="H123" s="7" t="s">
        <v>97</v>
      </c>
      <c r="I123" s="7" t="s">
        <v>99</v>
      </c>
      <c r="J123" s="13">
        <f>IFERROR(INDEX(Rates!$D$6:$D$15,MATCH(H123&amp;"|"&amp;I123,Rates!$C$6:$C$15,0)),0)</f>
        <v>120</v>
      </c>
      <c r="K123" s="14">
        <v>4</v>
      </c>
      <c r="L123" s="13">
        <f t="shared" si="3"/>
        <v>480</v>
      </c>
      <c r="M123" s="7" t="s">
        <v>1052</v>
      </c>
    </row>
    <row r="124" spans="1:13">
      <c r="A124" s="15">
        <v>120</v>
      </c>
      <c r="B124" s="15"/>
      <c r="C124" s="15" t="s">
        <v>70</v>
      </c>
      <c r="D124" s="16" t="s">
        <v>814</v>
      </c>
      <c r="E124" s="15">
        <v>13</v>
      </c>
      <c r="F124" s="15" t="str">
        <f>IFERROR(INDEX(Categories!$B$5:$B$27,MATCH(E124,Categories!$A$5:$A$27,0)),"")</f>
        <v>Environment Setup</v>
      </c>
      <c r="G124" s="15" t="s">
        <v>1053</v>
      </c>
      <c r="H124" s="15" t="s">
        <v>97</v>
      </c>
      <c r="I124" s="15" t="s">
        <v>98</v>
      </c>
      <c r="J124" s="17">
        <f>IFERROR(INDEX(Rates!$D$6:$D$15,MATCH(H124&amp;"|"&amp;I124,Rates!$C$6:$C$15,0)),0)</f>
        <v>100</v>
      </c>
      <c r="K124" s="18">
        <v>2</v>
      </c>
      <c r="L124" s="17">
        <f t="shared" si="3"/>
        <v>200</v>
      </c>
      <c r="M124" s="15" t="s">
        <v>695</v>
      </c>
    </row>
    <row r="125" spans="1:13" ht="25.5">
      <c r="A125" s="7">
        <v>121</v>
      </c>
      <c r="B125" s="7"/>
      <c r="C125" s="7" t="s">
        <v>521</v>
      </c>
      <c r="D125" s="8" t="s">
        <v>1198</v>
      </c>
      <c r="E125" s="7">
        <v>3</v>
      </c>
      <c r="F125" s="7" t="str">
        <f>IFERROR(INDEX(Categories!$B$5:$B$27,MATCH(E125,Categories!$A$5:$A$27,0)),"")</f>
        <v>CMS &amp; Content Prep</v>
      </c>
      <c r="G125" s="7" t="s">
        <v>1199</v>
      </c>
      <c r="H125" s="7" t="s">
        <v>97</v>
      </c>
      <c r="I125" s="7" t="s">
        <v>99</v>
      </c>
      <c r="J125" s="13">
        <f>IFERROR(INDEX(Rates!$D$6:$D$15,MATCH(H125&amp;"|"&amp;I125,Rates!$C$6:$C$15,0)),0)</f>
        <v>120</v>
      </c>
      <c r="K125" s="14">
        <v>10</v>
      </c>
      <c r="L125" s="13">
        <f t="shared" si="3"/>
        <v>1200</v>
      </c>
      <c r="M125" s="7" t="s">
        <v>1200</v>
      </c>
    </row>
    <row r="126" spans="1:13" ht="25.5">
      <c r="A126" s="15">
        <v>122</v>
      </c>
      <c r="B126" s="15"/>
      <c r="C126" s="15" t="s">
        <v>526</v>
      </c>
      <c r="D126" s="16" t="s">
        <v>1201</v>
      </c>
      <c r="E126" s="15">
        <v>3</v>
      </c>
      <c r="F126" s="15" t="str">
        <f>IFERROR(INDEX(Categories!$B$5:$B$27,MATCH(E126,Categories!$A$5:$A$27,0)),"")</f>
        <v>CMS &amp; Content Prep</v>
      </c>
      <c r="G126" s="15" t="s">
        <v>1202</v>
      </c>
      <c r="H126" s="15" t="s">
        <v>97</v>
      </c>
      <c r="I126" s="15" t="s">
        <v>99</v>
      </c>
      <c r="J126" s="17">
        <f>IFERROR(INDEX(Rates!$D$6:$D$15,MATCH(H126&amp;"|"&amp;I126,Rates!$C$6:$C$15,0)),0)</f>
        <v>120</v>
      </c>
      <c r="K126" s="18">
        <v>14</v>
      </c>
      <c r="L126" s="17">
        <f t="shared" si="3"/>
        <v>1680</v>
      </c>
      <c r="M126" s="15" t="s">
        <v>1203</v>
      </c>
    </row>
    <row r="127" spans="1:13" ht="25.5">
      <c r="A127" s="7">
        <v>123</v>
      </c>
      <c r="B127" s="7"/>
      <c r="C127" s="7" t="s">
        <v>531</v>
      </c>
      <c r="D127" s="8" t="s">
        <v>815</v>
      </c>
      <c r="E127" s="7">
        <v>3</v>
      </c>
      <c r="F127" s="7" t="str">
        <f>IFERROR(INDEX(Categories!$B$5:$B$27,MATCH(E127,Categories!$A$5:$A$27,0)),"")</f>
        <v>CMS &amp; Content Prep</v>
      </c>
      <c r="G127" s="7" t="s">
        <v>1204</v>
      </c>
      <c r="H127" s="7" t="s">
        <v>103</v>
      </c>
      <c r="I127" s="7" t="s">
        <v>98</v>
      </c>
      <c r="J127" s="13">
        <f>IFERROR(INDEX(Rates!$D$6:$D$15,MATCH(H127&amp;"|"&amp;I127,Rates!$C$6:$C$15,0)),0)</f>
        <v>0</v>
      </c>
      <c r="K127" s="14">
        <v>2</v>
      </c>
      <c r="L127" s="13">
        <f t="shared" si="3"/>
        <v>0</v>
      </c>
      <c r="M127" s="7" t="s">
        <v>817</v>
      </c>
    </row>
    <row r="128" spans="1:13">
      <c r="A128" s="15">
        <v>124</v>
      </c>
      <c r="B128" s="15"/>
      <c r="C128" s="15" t="s">
        <v>531</v>
      </c>
      <c r="D128" s="16" t="s">
        <v>536</v>
      </c>
      <c r="E128" s="15">
        <v>3</v>
      </c>
      <c r="F128" s="15" t="str">
        <f>IFERROR(INDEX(Categories!$B$5:$B$27,MATCH(E128,Categories!$A$5:$A$27,0)),"")</f>
        <v>CMS &amp; Content Prep</v>
      </c>
      <c r="G128" s="15" t="s">
        <v>818</v>
      </c>
      <c r="H128" s="15" t="s">
        <v>97</v>
      </c>
      <c r="I128" s="15" t="s">
        <v>98</v>
      </c>
      <c r="J128" s="17">
        <f>IFERROR(INDEX(Rates!$D$6:$D$15,MATCH(H128&amp;"|"&amp;I128,Rates!$C$6:$C$15,0)),0)</f>
        <v>100</v>
      </c>
      <c r="K128" s="18">
        <v>3</v>
      </c>
      <c r="L128" s="17">
        <f t="shared" si="3"/>
        <v>300</v>
      </c>
      <c r="M128" s="15" t="s">
        <v>539</v>
      </c>
    </row>
    <row r="129" spans="1:13" ht="25.5">
      <c r="A129" s="7">
        <v>125</v>
      </c>
      <c r="B129" s="7"/>
      <c r="C129" s="7" t="s">
        <v>60</v>
      </c>
      <c r="D129" s="8" t="s">
        <v>56</v>
      </c>
      <c r="E129" s="7">
        <v>6</v>
      </c>
      <c r="F129" s="7" t="str">
        <f>IFERROR(INDEX(Categories!$B$5:$B$27,MATCH(E129,Categories!$A$5:$A$27,0)),"")</f>
        <v>Data Migration</v>
      </c>
      <c r="G129" s="7" t="s">
        <v>1205</v>
      </c>
      <c r="H129" s="7" t="s">
        <v>97</v>
      </c>
      <c r="I129" s="7" t="s">
        <v>99</v>
      </c>
      <c r="J129" s="13">
        <f>IFERROR(INDEX(Rates!$D$6:$D$15,MATCH(H129&amp;"|"&amp;I129,Rates!$C$6:$C$15,0)),0)</f>
        <v>120</v>
      </c>
      <c r="K129" s="14">
        <v>6</v>
      </c>
      <c r="L129" s="13">
        <f t="shared" si="3"/>
        <v>720</v>
      </c>
      <c r="M129" s="7" t="s">
        <v>1049</v>
      </c>
    </row>
    <row r="130" spans="1:13">
      <c r="A130" s="15">
        <v>126</v>
      </c>
      <c r="B130" s="15"/>
      <c r="C130" s="15" t="s">
        <v>60</v>
      </c>
      <c r="D130" s="16" t="s">
        <v>496</v>
      </c>
      <c r="E130" s="15">
        <v>25</v>
      </c>
      <c r="F130" s="15" t="str">
        <f>IFERROR(INDEX(Categories!$B$5:$B$27,MATCH(E130,Categories!$A$5:$A$27,0)),"")</f>
        <v>QA &amp; Testing</v>
      </c>
      <c r="G130" s="15" t="s">
        <v>1206</v>
      </c>
      <c r="H130" s="15" t="s">
        <v>102</v>
      </c>
      <c r="I130" s="15" t="s">
        <v>98</v>
      </c>
      <c r="J130" s="17">
        <f>IFERROR(INDEX(Rates!$D$6:$D$15,MATCH(H130&amp;"|"&amp;I130,Rates!$C$6:$C$15,0)),0)</f>
        <v>80</v>
      </c>
      <c r="K130" s="18">
        <v>4</v>
      </c>
      <c r="L130" s="17">
        <f t="shared" si="3"/>
        <v>320</v>
      </c>
      <c r="M130" s="15" t="s">
        <v>700</v>
      </c>
    </row>
    <row r="131" spans="1:13">
      <c r="A131" s="7">
        <v>127</v>
      </c>
      <c r="B131" s="7"/>
      <c r="C131" s="7" t="s">
        <v>60</v>
      </c>
      <c r="D131" s="8" t="s">
        <v>500</v>
      </c>
      <c r="E131" s="7">
        <v>8</v>
      </c>
      <c r="F131" s="7" t="str">
        <f>IFERROR(INDEX(Categories!$B$5:$B$27,MATCH(E131,Categories!$A$5:$A$27,0)),"")</f>
        <v>Deployment</v>
      </c>
      <c r="G131" s="7" t="s">
        <v>1207</v>
      </c>
      <c r="H131" s="7" t="s">
        <v>97</v>
      </c>
      <c r="I131" s="7" t="s">
        <v>98</v>
      </c>
      <c r="J131" s="13">
        <f>IFERROR(INDEX(Rates!$D$6:$D$15,MATCH(H131&amp;"|"&amp;I131,Rates!$C$6:$C$15,0)),0)</f>
        <v>100</v>
      </c>
      <c r="K131" s="14">
        <v>1</v>
      </c>
      <c r="L131" s="13">
        <f t="shared" si="3"/>
        <v>100</v>
      </c>
      <c r="M131" s="7"/>
    </row>
    <row r="132" spans="1:13">
      <c r="A132" s="15">
        <v>128</v>
      </c>
      <c r="B132" s="15"/>
      <c r="C132" s="15" t="s">
        <v>60</v>
      </c>
      <c r="D132" s="16" t="s">
        <v>504</v>
      </c>
      <c r="E132" s="15">
        <v>8</v>
      </c>
      <c r="F132" s="15" t="str">
        <f>IFERROR(INDEX(Categories!$B$5:$B$27,MATCH(E132,Categories!$A$5:$A$27,0)),"")</f>
        <v>Deployment</v>
      </c>
      <c r="G132" s="15" t="s">
        <v>1054</v>
      </c>
      <c r="H132" s="15" t="s">
        <v>97</v>
      </c>
      <c r="I132" s="15" t="s">
        <v>99</v>
      </c>
      <c r="J132" s="17">
        <f>IFERROR(INDEX(Rates!$D$6:$D$15,MATCH(H132&amp;"|"&amp;I132,Rates!$C$6:$C$15,0)),0)</f>
        <v>120</v>
      </c>
      <c r="K132" s="18">
        <v>4</v>
      </c>
      <c r="L132" s="17">
        <f t="shared" si="3"/>
        <v>480</v>
      </c>
      <c r="M132" s="15" t="s">
        <v>1208</v>
      </c>
    </row>
    <row r="133" spans="1:13">
      <c r="A133" s="7">
        <v>129</v>
      </c>
      <c r="B133" s="7"/>
      <c r="C133" s="7" t="s">
        <v>60</v>
      </c>
      <c r="D133" s="8" t="s">
        <v>1055</v>
      </c>
      <c r="E133" s="7">
        <v>8</v>
      </c>
      <c r="F133" s="7" t="str">
        <f>IFERROR(INDEX(Categories!$B$5:$B$27,MATCH(E133,Categories!$A$5:$A$27,0)),"")</f>
        <v>Deployment</v>
      </c>
      <c r="G133" s="7" t="s">
        <v>1056</v>
      </c>
      <c r="H133" s="7" t="s">
        <v>97</v>
      </c>
      <c r="I133" s="7" t="s">
        <v>99</v>
      </c>
      <c r="J133" s="13">
        <f>IFERROR(INDEX(Rates!$D$6:$D$15,MATCH(H133&amp;"|"&amp;I133,Rates!$C$6:$C$15,0)),0)</f>
        <v>120</v>
      </c>
      <c r="K133" s="14">
        <v>2</v>
      </c>
      <c r="L133" s="13">
        <f t="shared" ref="L133:L164" si="4">K133*J133</f>
        <v>240</v>
      </c>
      <c r="M133" s="7"/>
    </row>
    <row r="134" spans="1:13" ht="25.5">
      <c r="A134" s="15">
        <v>130</v>
      </c>
      <c r="B134" s="15"/>
      <c r="C134" s="15" t="s">
        <v>60</v>
      </c>
      <c r="D134" s="16" t="s">
        <v>1057</v>
      </c>
      <c r="E134" s="15">
        <v>18</v>
      </c>
      <c r="F134" s="15" t="str">
        <f>IFERROR(INDEX(Categories!$B$5:$B$27,MATCH(E134,Categories!$A$5:$A$27,0)),"")</f>
        <v>Performance &amp; Security</v>
      </c>
      <c r="G134" s="15" t="s">
        <v>1209</v>
      </c>
      <c r="H134" s="15" t="s">
        <v>97</v>
      </c>
      <c r="I134" s="15" t="s">
        <v>99</v>
      </c>
      <c r="J134" s="17">
        <f>IFERROR(INDEX(Rates!$D$6:$D$15,MATCH(H134&amp;"|"&amp;I134,Rates!$C$6:$C$15,0)),0)</f>
        <v>120</v>
      </c>
      <c r="K134" s="18">
        <v>3</v>
      </c>
      <c r="L134" s="17">
        <f t="shared" si="4"/>
        <v>360</v>
      </c>
      <c r="M134" s="15" t="s">
        <v>515</v>
      </c>
    </row>
    <row r="135" spans="1:13">
      <c r="A135" s="7">
        <v>131</v>
      </c>
      <c r="B135" s="7"/>
      <c r="C135" s="7" t="s">
        <v>60</v>
      </c>
      <c r="D135" s="8" t="s">
        <v>1059</v>
      </c>
      <c r="E135" s="7">
        <v>8</v>
      </c>
      <c r="F135" s="7" t="str">
        <f>IFERROR(INDEX(Categories!$B$5:$B$27,MATCH(E135,Categories!$A$5:$A$27,0)),"")</f>
        <v>Deployment</v>
      </c>
      <c r="G135" s="7" t="s">
        <v>1060</v>
      </c>
      <c r="H135" s="7" t="s">
        <v>97</v>
      </c>
      <c r="I135" s="7" t="s">
        <v>98</v>
      </c>
      <c r="J135" s="13">
        <f>IFERROR(INDEX(Rates!$D$6:$D$15,MATCH(H135&amp;"|"&amp;I135,Rates!$C$6:$C$15,0)),0)</f>
        <v>100</v>
      </c>
      <c r="K135" s="14">
        <v>2</v>
      </c>
      <c r="L135" s="13">
        <f t="shared" si="4"/>
        <v>200</v>
      </c>
      <c r="M135" s="7"/>
    </row>
    <row r="136" spans="1:13">
      <c r="A136" s="15">
        <v>132</v>
      </c>
      <c r="B136" s="15"/>
      <c r="C136" s="15" t="s">
        <v>823</v>
      </c>
      <c r="D136" s="16" t="s">
        <v>1210</v>
      </c>
      <c r="E136" s="15">
        <v>25</v>
      </c>
      <c r="F136" s="15" t="str">
        <f>IFERROR(INDEX(Categories!$B$5:$B$27,MATCH(E136,Categories!$A$5:$A$27,0)),"")</f>
        <v>QA &amp; Testing</v>
      </c>
      <c r="G136" s="15" t="s">
        <v>1211</v>
      </c>
      <c r="H136" s="15" t="s">
        <v>102</v>
      </c>
      <c r="I136" s="15" t="s">
        <v>98</v>
      </c>
      <c r="J136" s="17">
        <f>IFERROR(INDEX(Rates!$D$6:$D$15,MATCH(H136&amp;"|"&amp;I136,Rates!$C$6:$C$15,0)),0)</f>
        <v>80</v>
      </c>
      <c r="K136" s="18">
        <v>6</v>
      </c>
      <c r="L136" s="17">
        <f t="shared" si="4"/>
        <v>480</v>
      </c>
      <c r="M136" s="15" t="s">
        <v>705</v>
      </c>
    </row>
    <row r="137" spans="1:13" ht="25.5">
      <c r="A137" s="7">
        <v>133</v>
      </c>
      <c r="B137" s="7"/>
      <c r="C137" s="7" t="s">
        <v>823</v>
      </c>
      <c r="D137" s="8" t="s">
        <v>545</v>
      </c>
      <c r="E137" s="7">
        <v>18</v>
      </c>
      <c r="F137" s="7" t="str">
        <f>IFERROR(INDEX(Categories!$B$5:$B$27,MATCH(E137,Categories!$A$5:$A$27,0)),"")</f>
        <v>Performance &amp; Security</v>
      </c>
      <c r="G137" s="7" t="s">
        <v>1212</v>
      </c>
      <c r="H137" s="7" t="s">
        <v>102</v>
      </c>
      <c r="I137" s="7" t="s">
        <v>98</v>
      </c>
      <c r="J137" s="13">
        <f>IFERROR(INDEX(Rates!$D$6:$D$15,MATCH(H137&amp;"|"&amp;I137,Rates!$C$6:$C$15,0)),0)</f>
        <v>80</v>
      </c>
      <c r="K137" s="14">
        <v>2</v>
      </c>
      <c r="L137" s="13">
        <f t="shared" si="4"/>
        <v>160</v>
      </c>
      <c r="M137" s="7" t="s">
        <v>1064</v>
      </c>
    </row>
    <row r="138" spans="1:13">
      <c r="A138" s="15">
        <v>134</v>
      </c>
      <c r="B138" s="15"/>
      <c r="C138" s="15" t="s">
        <v>823</v>
      </c>
      <c r="D138" s="16" t="s">
        <v>549</v>
      </c>
      <c r="E138" s="15">
        <v>4</v>
      </c>
      <c r="F138" s="15" t="str">
        <f>IFERROR(INDEX(Categories!$B$5:$B$27,MATCH(E138,Categories!$A$5:$A$27,0)),"")</f>
        <v>Conversion Tracking</v>
      </c>
      <c r="G138" s="15" t="s">
        <v>826</v>
      </c>
      <c r="H138" s="15" t="s">
        <v>102</v>
      </c>
      <c r="I138" s="15" t="s">
        <v>98</v>
      </c>
      <c r="J138" s="17">
        <f>IFERROR(INDEX(Rates!$D$6:$D$15,MATCH(H138&amp;"|"&amp;I138,Rates!$C$6:$C$15,0)),0)</f>
        <v>80</v>
      </c>
      <c r="K138" s="18">
        <v>2</v>
      </c>
      <c r="L138" s="17">
        <f t="shared" si="4"/>
        <v>160</v>
      </c>
      <c r="M138" s="15"/>
    </row>
    <row r="139" spans="1:13" ht="25.5">
      <c r="A139" s="7">
        <v>121</v>
      </c>
      <c r="B139" s="7"/>
      <c r="C139" s="7" t="s">
        <v>48</v>
      </c>
      <c r="D139" s="8" t="s">
        <v>1065</v>
      </c>
      <c r="E139" s="7">
        <v>7</v>
      </c>
      <c r="F139" s="7" t="str">
        <f>IFERROR(INDEX(Categories!$B$5:$B$27,MATCH(E139,Categories!$A$5:$A$27,0)),"")</f>
        <v>Database</v>
      </c>
      <c r="G139" s="7" t="s">
        <v>1213</v>
      </c>
      <c r="H139" s="7" t="s">
        <v>97</v>
      </c>
      <c r="I139" s="7" t="s">
        <v>99</v>
      </c>
      <c r="J139" s="13">
        <f>IFERROR(INDEX(Rates!$D$6:$D$15,MATCH(H139&amp;"|"&amp;I139,Rates!$C$6:$C$15,0)),0)</f>
        <v>120</v>
      </c>
      <c r="K139" s="14">
        <v>4</v>
      </c>
      <c r="L139" s="13">
        <f t="shared" si="4"/>
        <v>480</v>
      </c>
      <c r="M139" s="7" t="s">
        <v>1041</v>
      </c>
    </row>
    <row r="140" spans="1:13" ht="25.5">
      <c r="A140" s="15">
        <v>122</v>
      </c>
      <c r="B140" s="15"/>
      <c r="C140" s="15" t="s">
        <v>48</v>
      </c>
      <c r="D140" s="16" t="s">
        <v>1214</v>
      </c>
      <c r="E140" s="15">
        <v>7</v>
      </c>
      <c r="F140" s="15" t="str">
        <f>IFERROR(INDEX(Categories!$B$5:$B$27,MATCH(E140,Categories!$A$5:$A$27,0)),"")</f>
        <v>Database</v>
      </c>
      <c r="G140" s="15" t="s">
        <v>1215</v>
      </c>
      <c r="H140" s="15" t="s">
        <v>97</v>
      </c>
      <c r="I140" s="15" t="s">
        <v>99</v>
      </c>
      <c r="J140" s="17">
        <f>IFERROR(INDEX(Rates!$D$6:$D$15,MATCH(H140&amp;"|"&amp;I140,Rates!$C$6:$C$15,0)),0)</f>
        <v>120</v>
      </c>
      <c r="K140" s="18">
        <v>8</v>
      </c>
      <c r="L140" s="17">
        <f t="shared" si="4"/>
        <v>960</v>
      </c>
      <c r="M140" s="15" t="s">
        <v>1069</v>
      </c>
    </row>
    <row r="141" spans="1:13" ht="25.5">
      <c r="A141" s="7">
        <v>123</v>
      </c>
      <c r="B141" s="7"/>
      <c r="C141" s="7" t="s">
        <v>48</v>
      </c>
      <c r="D141" s="8" t="s">
        <v>1216</v>
      </c>
      <c r="E141" s="7">
        <v>7</v>
      </c>
      <c r="F141" s="7" t="str">
        <f>IFERROR(INDEX(Categories!$B$5:$B$27,MATCH(E141,Categories!$A$5:$A$27,0)),"")</f>
        <v>Database</v>
      </c>
      <c r="G141" s="7" t="s">
        <v>1217</v>
      </c>
      <c r="H141" s="7" t="s">
        <v>97</v>
      </c>
      <c r="I141" s="7" t="s">
        <v>99</v>
      </c>
      <c r="J141" s="13">
        <f>IFERROR(INDEX(Rates!$D$6:$D$15,MATCH(H141&amp;"|"&amp;I141,Rates!$C$6:$C$15,0)),0)</f>
        <v>120</v>
      </c>
      <c r="K141" s="14">
        <v>10</v>
      </c>
      <c r="L141" s="13">
        <f t="shared" si="4"/>
        <v>1200</v>
      </c>
      <c r="M141" s="7" t="s">
        <v>1218</v>
      </c>
    </row>
    <row r="143" spans="1:13">
      <c r="D143" s="19" t="s">
        <v>552</v>
      </c>
      <c r="K143" s="20">
        <f>SUM(K5:K141)</f>
        <v>1393</v>
      </c>
      <c r="L143" s="21">
        <f>SUM(L5:L141)</f>
        <v>162680</v>
      </c>
      <c r="M143" s="12" t="s">
        <v>553</v>
      </c>
    </row>
  </sheetData>
  <autoFilter ref="A4:M141"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zoomScaleNormal="100" workbookViewId="0"/>
  </sheetViews>
  <sheetFormatPr defaultColWidth="8.7109375" defaultRowHeight="15"/>
  <cols>
    <col min="1" max="1" width="22" customWidth="1"/>
    <col min="2" max="2" width="10" customWidth="1"/>
    <col min="3" max="3" width="14" customWidth="1"/>
    <col min="4" max="4" width="16" customWidth="1"/>
  </cols>
  <sheetData>
    <row r="1" spans="1:4" ht="16.5">
      <c r="A1" s="1" t="s">
        <v>1219</v>
      </c>
    </row>
    <row r="2" spans="1:4">
      <c r="A2" s="2" t="s">
        <v>1220</v>
      </c>
    </row>
    <row r="4" spans="1:4">
      <c r="A4" s="9" t="s">
        <v>1221</v>
      </c>
      <c r="B4" s="9" t="s">
        <v>1222</v>
      </c>
      <c r="C4" s="9" t="s">
        <v>1223</v>
      </c>
      <c r="D4" s="9" t="s">
        <v>1224</v>
      </c>
    </row>
    <row r="5" spans="1:4">
      <c r="A5" s="22" t="s">
        <v>1225</v>
      </c>
      <c r="B5" s="10">
        <v>136</v>
      </c>
      <c r="C5" s="23">
        <f>WordPress!K142</f>
        <v>1373.5</v>
      </c>
      <c r="D5" s="24">
        <f>WordPress!L142</f>
        <v>159700</v>
      </c>
    </row>
    <row r="6" spans="1:4">
      <c r="A6" s="22" t="s">
        <v>1226</v>
      </c>
      <c r="B6" s="10">
        <v>67</v>
      </c>
      <c r="C6" s="23">
        <f>Squarespace!K73</f>
        <v>209</v>
      </c>
      <c r="D6" s="24">
        <f>Squarespace!L73</f>
        <v>20600</v>
      </c>
    </row>
    <row r="7" spans="1:4">
      <c r="A7" s="22" t="s">
        <v>1227</v>
      </c>
      <c r="B7" s="10">
        <v>69</v>
      </c>
      <c r="C7" s="23">
        <f>Shopify!K75</f>
        <v>295</v>
      </c>
      <c r="D7" s="24">
        <f>Shopify!L75</f>
        <v>30520</v>
      </c>
    </row>
    <row r="8" spans="1:4">
      <c r="A8" s="22" t="s">
        <v>1228</v>
      </c>
      <c r="B8" s="10">
        <v>70</v>
      </c>
      <c r="C8" s="23">
        <f>WIX!K76</f>
        <v>269</v>
      </c>
      <c r="D8" s="24">
        <f>WIX!L76</f>
        <v>27780</v>
      </c>
    </row>
    <row r="9" spans="1:4">
      <c r="A9" s="22" t="s">
        <v>1229</v>
      </c>
      <c r="B9" s="10">
        <v>118</v>
      </c>
      <c r="C9" s="23">
        <f>'PHP-HTML-CSS'!K124</f>
        <v>1003</v>
      </c>
      <c r="D9" s="24">
        <f>'PHP-HTML-CSS'!L124</f>
        <v>116840</v>
      </c>
    </row>
    <row r="10" spans="1:4">
      <c r="A10" s="22" t="s">
        <v>1230</v>
      </c>
      <c r="B10" s="10">
        <v>137</v>
      </c>
      <c r="C10" s="23">
        <f>'React-NextJS'!K143</f>
        <v>1393</v>
      </c>
      <c r="D10" s="24">
        <f>'React-NextJS'!L143</f>
        <v>162680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2026-09-23T18:17:11Z</dcterms:created>
  <dcterms:modified xsi:type="dcterms:W3CDTF">2026-09-23T19:19:55Z</dcterms:modified>
  <cp:category/>
  <cp:contentStatus/>
</cp:coreProperties>
</file>